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85994f71db9339/Documents/"/>
    </mc:Choice>
  </mc:AlternateContent>
  <xr:revisionPtr revIDLastSave="1817" documentId="8_{77F171E2-1B9E-4A12-8ADC-BE021A15B27E}" xr6:coauthVersionLast="47" xr6:coauthVersionMax="47" xr10:uidLastSave="{34201134-8185-4C5B-A779-6D2F02681725}"/>
  <bookViews>
    <workbookView xWindow="-120" yWindow="-120" windowWidth="29040" windowHeight="15720" firstSheet="5" activeTab="9" xr2:uid="{4027666C-479C-40D0-B941-05BCF52604B2}"/>
  </bookViews>
  <sheets>
    <sheet name="Cover" sheetId="5" r:id="rId1"/>
    <sheet name="Dashboard" sheetId="2" r:id="rId2"/>
    <sheet name="Expenses" sheetId="1" r:id="rId3"/>
    <sheet name="August 2026 Archive" sheetId="9" r:id="rId4"/>
    <sheet name="Savings Dashboard" sheetId="4" r:id="rId5"/>
    <sheet name="Savings Tracker" sheetId="3" r:id="rId6"/>
    <sheet name="Web App Plan" sheetId="6" r:id="rId7"/>
    <sheet name="Web App Mockup" sheetId="7" r:id="rId8"/>
    <sheet name="Miscellaneous" sheetId="8" r:id="rId9"/>
    <sheet name="Savings Plan" sheetId="10" r:id="rId10"/>
    <sheet name="Income &amp; Bills" sheetId="11" r:id="rId11"/>
    <sheet name="Farm Manager Salary" sheetId="12" r:id="rId12"/>
  </sheets>
  <definedNames>
    <definedName name="CategoryList" localSheetId="3">'August 2026 Archive'!$J$2:INDEX('August 2026 Archive'!$J:$J,COUNTA('August 2026 Archive'!$J:$J))</definedName>
    <definedName name="CategoryList">Expenses!$J$2:INDEX(Expenses!$J:$J,COUNTA(Expenses!$J:$J))</definedName>
    <definedName name="SubcategoryList" localSheetId="3">'August 2026 Archive'!$K$2:INDEX('August 2026 Archive'!$K:$K,COUNTA('August 2026 Archive'!$K:$K))</definedName>
    <definedName name="SubcategoryList">Expenses!$K$2:INDEX(Expenses!$K:$K,COUNTA(Expenses!$K:$K))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2" l="1"/>
  <c r="B4" i="12"/>
  <c r="B4" i="11"/>
  <c r="B5" i="10"/>
  <c r="B13" i="10"/>
  <c r="B26" i="10"/>
  <c r="C4" i="8"/>
  <c r="B27" i="10"/>
  <c r="B28" i="10"/>
  <c r="C26" i="10"/>
  <c r="C27" i="10"/>
  <c r="C28" i="10"/>
  <c r="D28" i="10"/>
  <c r="C38" i="10"/>
  <c r="C67" i="10"/>
  <c r="B7" i="11"/>
  <c r="B6" i="10"/>
  <c r="B17" i="10"/>
  <c r="B67" i="10"/>
  <c r="C5" i="4"/>
  <c r="D67" i="10" s="1"/>
  <c r="C68" i="10"/>
  <c r="B18" i="10"/>
  <c r="B68" i="10"/>
  <c r="D68" i="10"/>
  <c r="B51" i="10"/>
  <c r="B52" i="10"/>
  <c r="B53" i="10"/>
  <c r="B54" i="10"/>
  <c r="B62" i="10"/>
  <c r="B61" i="10"/>
  <c r="B60" i="10"/>
  <c r="B59" i="10"/>
  <c r="B58" i="10"/>
  <c r="B57" i="10"/>
  <c r="B56" i="10"/>
  <c r="B55" i="10"/>
  <c r="B63" i="10"/>
  <c r="C51" i="10"/>
  <c r="C52" i="10"/>
  <c r="C53" i="10"/>
  <c r="C54" i="10"/>
  <c r="C62" i="10"/>
  <c r="C61" i="10"/>
  <c r="C60" i="10"/>
  <c r="C59" i="10"/>
  <c r="C58" i="10"/>
  <c r="C57" i="10"/>
  <c r="C56" i="10"/>
  <c r="C55" i="10"/>
  <c r="C63" i="10"/>
  <c r="D51" i="10"/>
  <c r="D52" i="10"/>
  <c r="D53" i="10"/>
  <c r="D54" i="10"/>
  <c r="D62" i="10"/>
  <c r="D61" i="10"/>
  <c r="D60" i="10"/>
  <c r="D59" i="10"/>
  <c r="D58" i="10"/>
  <c r="D57" i="10"/>
  <c r="D56" i="10"/>
  <c r="D55" i="10"/>
  <c r="D63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D27" i="10"/>
  <c r="C37" i="10"/>
  <c r="C39" i="10"/>
  <c r="C40" i="10"/>
  <c r="B37" i="10"/>
  <c r="B38" i="10"/>
  <c r="B39" i="10"/>
  <c r="B40" i="10"/>
  <c r="B25" i="10"/>
  <c r="C25" i="10"/>
  <c r="D25" i="10"/>
  <c r="D26" i="10"/>
  <c r="B29" i="10"/>
  <c r="C29" i="10"/>
  <c r="D29" i="10"/>
  <c r="B15" i="10"/>
  <c r="B16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14" i="10"/>
  <c r="A20" i="10"/>
  <c r="B10" i="10"/>
  <c r="B9" i="10"/>
  <c r="B8" i="10"/>
  <c r="B7" i="10"/>
  <c r="C13" i="8"/>
  <c r="G5" i="1"/>
  <c r="J18" i="2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F5" i="1"/>
  <c r="F6" i="1"/>
  <c r="F7" i="1"/>
  <c r="F8" i="1"/>
  <c r="F9" i="1"/>
  <c r="M36" i="2" s="1"/>
  <c r="F10" i="1"/>
  <c r="F11" i="1"/>
  <c r="F12" i="1"/>
  <c r="F13" i="1"/>
  <c r="F14" i="1"/>
  <c r="F15" i="1"/>
  <c r="F16" i="1"/>
  <c r="F15" i="2" s="1"/>
  <c r="F17" i="1"/>
  <c r="F18" i="1"/>
  <c r="F19" i="1"/>
  <c r="F20" i="1"/>
  <c r="F21" i="1"/>
  <c r="F22" i="1"/>
  <c r="F23" i="1"/>
  <c r="F24" i="1"/>
  <c r="M31" i="2" s="1"/>
  <c r="F25" i="1"/>
  <c r="M32" i="2" s="1"/>
  <c r="F26" i="1"/>
  <c r="F27" i="1"/>
  <c r="F28" i="1"/>
  <c r="F29" i="1"/>
  <c r="F34" i="1"/>
  <c r="F38" i="1"/>
  <c r="F30" i="1"/>
  <c r="M37" i="2" s="1"/>
  <c r="F31" i="1"/>
  <c r="F32" i="1"/>
  <c r="F33" i="1"/>
  <c r="F35" i="1"/>
  <c r="F36" i="1"/>
  <c r="F37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8" i="9"/>
  <c r="F10" i="9"/>
  <c r="F12" i="9"/>
  <c r="F39" i="9"/>
  <c r="F40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1" i="9"/>
  <c r="F9" i="9"/>
  <c r="F7" i="9"/>
  <c r="F6" i="9"/>
  <c r="F5" i="9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3" i="2"/>
  <c r="M34" i="2"/>
  <c r="M35" i="2"/>
  <c r="M38" i="2"/>
  <c r="M39" i="2"/>
  <c r="M40" i="2"/>
  <c r="G5" i="9"/>
  <c r="G6" i="9"/>
  <c r="G7" i="9"/>
  <c r="G8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F14" i="2"/>
  <c r="F16" i="2"/>
  <c r="F17" i="2"/>
  <c r="F18" i="2"/>
  <c r="F19" i="2"/>
  <c r="F21" i="2"/>
  <c r="F22" i="2"/>
  <c r="B106" i="9"/>
  <c r="C6" i="8"/>
  <c r="C5" i="8"/>
  <c r="C3" i="8"/>
  <c r="H6" i="3"/>
  <c r="H16" i="4"/>
  <c r="H18" i="4"/>
  <c r="H8" i="3"/>
  <c r="H19" i="4"/>
  <c r="H20" i="4"/>
  <c r="I20" i="4" s="1"/>
  <c r="G5" i="3"/>
  <c r="G7" i="3"/>
  <c r="G10" i="3"/>
  <c r="G11" i="3"/>
  <c r="B16" i="4"/>
  <c r="G6" i="3"/>
  <c r="G8" i="3"/>
  <c r="G9" i="3"/>
  <c r="G12" i="3"/>
  <c r="C16" i="4"/>
  <c r="B17" i="4"/>
  <c r="C17" i="4"/>
  <c r="D17" i="4"/>
  <c r="B18" i="4"/>
  <c r="C18" i="4"/>
  <c r="B19" i="4"/>
  <c r="C19" i="4"/>
  <c r="D19" i="4"/>
  <c r="B20" i="4"/>
  <c r="C20" i="4"/>
  <c r="D20" i="4"/>
  <c r="B21" i="4"/>
  <c r="C21" i="4"/>
  <c r="B22" i="4"/>
  <c r="C22" i="4"/>
  <c r="D22" i="4"/>
  <c r="B23" i="4"/>
  <c r="C23" i="4"/>
  <c r="D23" i="4"/>
  <c r="B24" i="4"/>
  <c r="C24" i="4"/>
  <c r="B25" i="4"/>
  <c r="C25" i="4"/>
  <c r="B26" i="4"/>
  <c r="C26" i="4"/>
  <c r="D26" i="4"/>
  <c r="B27" i="4"/>
  <c r="C27" i="4"/>
  <c r="B107" i="3"/>
  <c r="B108" i="3"/>
  <c r="B109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H11" i="3"/>
  <c r="H10" i="3"/>
  <c r="H9" i="3"/>
  <c r="H7" i="3"/>
  <c r="H5" i="3"/>
  <c r="I5" i="4"/>
  <c r="B106" i="1"/>
  <c r="H17" i="4"/>
  <c r="I17" i="4" s="1"/>
  <c r="D25" i="4"/>
  <c r="D21" i="4"/>
  <c r="I18" i="4"/>
  <c r="I19" i="4"/>
  <c r="I16" i="4"/>
  <c r="D16" i="4"/>
  <c r="E17" i="4"/>
  <c r="B106" i="3"/>
  <c r="D24" i="4"/>
  <c r="D18" i="4"/>
  <c r="D27" i="4"/>
  <c r="E26" i="4"/>
  <c r="E21" i="4"/>
  <c r="E16" i="4"/>
  <c r="E25" i="4"/>
  <c r="E19" i="4"/>
  <c r="E20" i="4"/>
  <c r="E23" i="4"/>
  <c r="E18" i="4"/>
  <c r="E27" i="4"/>
  <c r="E22" i="4"/>
  <c r="E24" i="4"/>
  <c r="B14" i="2"/>
  <c r="B24" i="2"/>
  <c r="B16" i="2"/>
  <c r="B23" i="2"/>
  <c r="J24" i="2" l="1"/>
  <c r="F20" i="2"/>
  <c r="J15" i="2"/>
  <c r="J41" i="2"/>
  <c r="J44" i="2"/>
  <c r="J14" i="2"/>
  <c r="J22" i="2"/>
  <c r="J37" i="2"/>
  <c r="J28" i="2"/>
  <c r="J38" i="2"/>
  <c r="B22" i="2"/>
  <c r="J23" i="2"/>
  <c r="J26" i="2"/>
  <c r="B19" i="2"/>
  <c r="J32" i="2"/>
  <c r="J40" i="2"/>
  <c r="J17" i="2"/>
  <c r="J20" i="2"/>
  <c r="J29" i="2"/>
  <c r="J36" i="2"/>
  <c r="J33" i="2"/>
  <c r="J27" i="2"/>
  <c r="J31" i="2"/>
  <c r="J42" i="2"/>
  <c r="B15" i="2"/>
  <c r="B21" i="2"/>
  <c r="J19" i="2"/>
  <c r="B17" i="2"/>
  <c r="F23" i="2"/>
  <c r="J21" i="2"/>
  <c r="J34" i="2"/>
  <c r="J25" i="2"/>
  <c r="J35" i="2"/>
  <c r="J39" i="2"/>
  <c r="B18" i="2"/>
  <c r="J30" i="2"/>
  <c r="J43" i="2"/>
  <c r="J16" i="2"/>
  <c r="C5" i="2"/>
  <c r="B20" i="2"/>
  <c r="B25" i="2"/>
  <c r="C23" i="2" l="1"/>
  <c r="N18" i="2"/>
  <c r="G14" i="2"/>
  <c r="N19" i="2"/>
  <c r="N29" i="2"/>
  <c r="G15" i="2"/>
  <c r="G21" i="2"/>
  <c r="N27" i="2"/>
  <c r="G20" i="2"/>
  <c r="G5" i="2"/>
  <c r="N24" i="2"/>
  <c r="N32" i="2"/>
  <c r="C25" i="2"/>
  <c r="C24" i="2"/>
  <c r="N20" i="2"/>
  <c r="N40" i="2"/>
  <c r="C14" i="2"/>
  <c r="G23" i="2"/>
  <c r="C18" i="2"/>
  <c r="N14" i="2"/>
  <c r="N35" i="2"/>
  <c r="G16" i="2"/>
  <c r="N38" i="2"/>
  <c r="N37" i="2"/>
  <c r="C16" i="2"/>
  <c r="N15" i="2"/>
  <c r="G18" i="2"/>
  <c r="N21" i="2"/>
  <c r="N30" i="2"/>
  <c r="N26" i="2"/>
  <c r="C20" i="2"/>
  <c r="I5" i="2"/>
  <c r="N23" i="2"/>
  <c r="N25" i="2"/>
  <c r="N36" i="2"/>
  <c r="C19" i="2"/>
  <c r="G17" i="2"/>
  <c r="N39" i="2"/>
  <c r="N33" i="2"/>
  <c r="G19" i="2"/>
  <c r="C21" i="2"/>
  <c r="N31" i="2"/>
  <c r="N17" i="2"/>
  <c r="C15" i="2"/>
  <c r="G22" i="2"/>
  <c r="N16" i="2"/>
  <c r="N34" i="2"/>
  <c r="N22" i="2"/>
  <c r="B10" i="4"/>
  <c r="B12" i="4" s="1"/>
  <c r="A5" i="4" s="1"/>
  <c r="C17" i="2"/>
  <c r="N28" i="2"/>
  <c r="C22" i="2"/>
  <c r="G5" i="4" l="1"/>
  <c r="E5" i="4"/>
</calcChain>
</file>

<file path=xl/sharedStrings.xml><?xml version="1.0" encoding="utf-8"?>
<sst xmlns="http://schemas.openxmlformats.org/spreadsheetml/2006/main" count="718" uniqueCount="408">
  <si>
    <t>Monthly Expense Tracker</t>
  </si>
  <si>
    <t>Date</t>
  </si>
  <si>
    <t>Bills</t>
  </si>
  <si>
    <t>Amount</t>
  </si>
  <si>
    <t>Category</t>
  </si>
  <si>
    <t>Subcategory</t>
  </si>
  <si>
    <t>Month</t>
  </si>
  <si>
    <t>Day</t>
  </si>
  <si>
    <t>Electricity</t>
  </si>
  <si>
    <t>Utilities</t>
  </si>
  <si>
    <t>Groceries</t>
  </si>
  <si>
    <t>Food</t>
  </si>
  <si>
    <t>Transport</t>
  </si>
  <si>
    <t>Ride-hailing</t>
  </si>
  <si>
    <t>Internet</t>
  </si>
  <si>
    <t>Rent</t>
  </si>
  <si>
    <t>Housing</t>
  </si>
  <si>
    <t>Dining Out</t>
  </si>
  <si>
    <t>Medicine</t>
  </si>
  <si>
    <t>Healthcare</t>
  </si>
  <si>
    <t>Mobile</t>
  </si>
  <si>
    <t>Entertainment</t>
  </si>
  <si>
    <t>Movies</t>
  </si>
  <si>
    <t>Clothing</t>
  </si>
  <si>
    <t>Personal</t>
  </si>
  <si>
    <t>Category List</t>
  </si>
  <si>
    <t>Savings</t>
  </si>
  <si>
    <t>Other</t>
  </si>
  <si>
    <t>Subcategory List</t>
  </si>
  <si>
    <t>Coffee/Snacks</t>
  </si>
  <si>
    <t>Public Transit</t>
  </si>
  <si>
    <t>Fuel</t>
  </si>
  <si>
    <t>Water</t>
  </si>
  <si>
    <t>Mortgage</t>
  </si>
  <si>
    <t>Repairs</t>
  </si>
  <si>
    <t>Doctor</t>
  </si>
  <si>
    <t>Insurance</t>
  </si>
  <si>
    <t>Subscriptions</t>
  </si>
  <si>
    <t>Shopping</t>
  </si>
  <si>
    <t>Self-care</t>
  </si>
  <si>
    <t>Emergency Fund</t>
  </si>
  <si>
    <t>Total entered</t>
  </si>
  <si>
    <t>Expense Dashboard</t>
  </si>
  <si>
    <t>EXPENSES BY MONTH</t>
  </si>
  <si>
    <t>Subtotal</t>
  </si>
  <si>
    <t>SUBTOTALS BY CATEGORY</t>
  </si>
  <si>
    <t>EXPENSES BY DAY</t>
  </si>
  <si>
    <t>Month Start</t>
  </si>
  <si>
    <t>Add expenses in columns A:E only. Use dropdowns for Category/Subcategory; the dashboard updates automatically.</t>
  </si>
  <si>
    <t>Select a month, enter an optional budget, then track spending, remaining balance, daily activity, and category subtotals.</t>
  </si>
  <si>
    <t>Selected Month</t>
  </si>
  <si>
    <t>Monthly Spend</t>
  </si>
  <si>
    <t>Monthly Budget</t>
  </si>
  <si>
    <t>Remaining</t>
  </si>
  <si>
    <t>Top Category</t>
  </si>
  <si>
    <t>% of Selected Month</t>
  </si>
  <si>
    <t>% of Month</t>
  </si>
  <si>
    <t>Condo Amortization</t>
  </si>
  <si>
    <t>Oh Mango</t>
  </si>
  <si>
    <t>Shell Cayetano</t>
  </si>
  <si>
    <t>Shell Supermarket</t>
  </si>
  <si>
    <t>Pepper lunch</t>
  </si>
  <si>
    <t>Puregold</t>
  </si>
  <si>
    <t>Grab</t>
  </si>
  <si>
    <t>Rebook Training Shoes</t>
  </si>
  <si>
    <t>SUBTOTALS BY SUBCATEGORY</t>
  </si>
  <si>
    <t>Personal Finance Workbook</t>
  </si>
  <si>
    <t>Expense tracking plus savings and emergency fund monitoring.</t>
  </si>
  <si>
    <t>Sheet</t>
  </si>
  <si>
    <t>Purpose</t>
  </si>
  <si>
    <t>Expenses</t>
  </si>
  <si>
    <t>Enter daily expenses and categories.</t>
  </si>
  <si>
    <t>Dashboard</t>
  </si>
  <si>
    <t>Expense dashboard with monthly, daily, category, and subcategory summaries.</t>
  </si>
  <si>
    <t>Savings Tracker</t>
  </si>
  <si>
    <t>Enter savings and emergency fund contributions or withdrawals.</t>
  </si>
  <si>
    <t>Savings Dashboard</t>
  </si>
  <si>
    <t>Track current savings balance, emergency fund target, progress, and trends.</t>
  </si>
  <si>
    <t>Savings &amp; Emergency Fund Tracker</t>
  </si>
  <si>
    <t>Record deposits as Contributions and any money taken out as Withdrawals. Dashboard totals update automatically.</t>
  </si>
  <si>
    <t>Fund</t>
  </si>
  <si>
    <t>Transaction Type</t>
  </si>
  <si>
    <t>Account</t>
  </si>
  <si>
    <t>Notes</t>
  </si>
  <si>
    <t>Signed Amount</t>
  </si>
  <si>
    <t>Fund List</t>
  </si>
  <si>
    <t>General Savings</t>
  </si>
  <si>
    <t>Travel Fund</t>
  </si>
  <si>
    <t>Investment Fund</t>
  </si>
  <si>
    <t>Transaction Type List</t>
  </si>
  <si>
    <t>Contribution</t>
  </si>
  <si>
    <t>Withdrawal</t>
  </si>
  <si>
    <t>Current Balance</t>
  </si>
  <si>
    <t>Total Contributions</t>
  </si>
  <si>
    <t>Total Withdrawals</t>
  </si>
  <si>
    <t>Emergency Fund Balance</t>
  </si>
  <si>
    <t>Savings &amp; Emergency Fund Dashboard</t>
  </si>
  <si>
    <t>Track savings balance, emergency fund target, remaining gap, and monthly progress.</t>
  </si>
  <si>
    <t>Emergency Goal</t>
  </si>
  <si>
    <t>Emergency Balance</t>
  </si>
  <si>
    <t>Progress</t>
  </si>
  <si>
    <t>Current Savings</t>
  </si>
  <si>
    <t>Monthly expense basis</t>
  </si>
  <si>
    <t>Target months</t>
  </si>
  <si>
    <t>Goal formula</t>
  </si>
  <si>
    <t>MONTHLY SAVINGS SUMMARY</t>
  </si>
  <si>
    <t>Contributions</t>
  </si>
  <si>
    <t>Withdrawals</t>
  </si>
  <si>
    <t>Net Savings</t>
  </si>
  <si>
    <t>Running Balance</t>
  </si>
  <si>
    <t>BALANCE BY FUND</t>
  </si>
  <si>
    <t>Balance</t>
  </si>
  <si>
    <t>% of Savings</t>
  </si>
  <si>
    <t>BPI</t>
  </si>
  <si>
    <t>Web Application Blueprint</t>
  </si>
  <si>
    <t>Plan for converting this workbook into a personal finance web app with expenses, budgets, savings, dashboards, and charts.</t>
  </si>
  <si>
    <t>1. Recommended Pages</t>
  </si>
  <si>
    <t>Page</t>
  </si>
  <si>
    <t>Login / Profile</t>
  </si>
  <si>
    <t>Secure access and user settings.</t>
  </si>
  <si>
    <t>Expense Entry</t>
  </si>
  <si>
    <t>Add/edit Date, Bills, Amount, Category, and Subcategory.</t>
  </si>
  <si>
    <t>Monthly spend, budget remaining, daily/category/subcategory charts.</t>
  </si>
  <si>
    <t>Savings Entry</t>
  </si>
  <si>
    <t>Add contributions and withdrawals by fund/account.</t>
  </si>
  <si>
    <t>Emergency goal, current savings, progress, fund balances, trend charts.</t>
  </si>
  <si>
    <t>Settings</t>
  </si>
  <si>
    <t>Manage category, subcategory, fund, and account lists.</t>
  </si>
  <si>
    <t>2. Core Database Tables</t>
  </si>
  <si>
    <t>Table</t>
  </si>
  <si>
    <t>Key Fields</t>
  </si>
  <si>
    <t>users</t>
  </si>
  <si>
    <t>id, name, email, password_hash, created_at</t>
  </si>
  <si>
    <t>expenses</t>
  </si>
  <si>
    <t>id, user_id, date, bill_name, amount, category_id, subcategory_id</t>
  </si>
  <si>
    <t>categories</t>
  </si>
  <si>
    <t>id, user_id, name, type</t>
  </si>
  <si>
    <t>subcategories</t>
  </si>
  <si>
    <t>id, category_id, name</t>
  </si>
  <si>
    <t>savings_transactions</t>
  </si>
  <si>
    <t>id, user_id, date, fund_id, transaction_type, amount, account, notes</t>
  </si>
  <si>
    <t>funds</t>
  </si>
  <si>
    <t>id, user_id, name</t>
  </si>
  <si>
    <t>budgets</t>
  </si>
  <si>
    <t>id, user_id, month_start, monthly_budget, emergency_target_months</t>
  </si>
  <si>
    <t>3. Workbook Formula Mapping</t>
  </si>
  <si>
    <t>Workbook Metric</t>
  </si>
  <si>
    <t>Web App Calculation</t>
  </si>
  <si>
    <t>SUM expenses.amount WHERE month(date)=selected_month</t>
  </si>
  <si>
    <t>Remaining Budget</t>
  </si>
  <si>
    <t>monthly_budget - monthly_spend</t>
  </si>
  <si>
    <t>Category Subtotal</t>
  </si>
  <si>
    <t>SUM expenses.amount GROUP BY category</t>
  </si>
  <si>
    <t>Subcategory Subtotal</t>
  </si>
  <si>
    <t>SUM expenses.amount GROUP BY subcategory</t>
  </si>
  <si>
    <t>Daily Spend</t>
  </si>
  <si>
    <t>SUM expenses.amount GROUP BY DAY(date)</t>
  </si>
  <si>
    <t>SUM signed savings transactions</t>
  </si>
  <si>
    <t>monthly_spend * target_months</t>
  </si>
  <si>
    <t>Emergency Progress</t>
  </si>
  <si>
    <t>emergency_balance / emergency_goal</t>
  </si>
  <si>
    <t>4. Suggested Tech Stack</t>
  </si>
  <si>
    <t>Layer</t>
  </si>
  <si>
    <t>Recommendation</t>
  </si>
  <si>
    <t>Frontend</t>
  </si>
  <si>
    <t>React / Next.js dashboard with forms and charts</t>
  </si>
  <si>
    <t>Backend</t>
  </si>
  <si>
    <t>Node.js API or Next.js API routes</t>
  </si>
  <si>
    <t>Database</t>
  </si>
  <si>
    <t>PostgreSQL or Supabase</t>
  </si>
  <si>
    <t>Charts</t>
  </si>
  <si>
    <t>Chart.js, Recharts, or ECharts</t>
  </si>
  <si>
    <t>Auth</t>
  </si>
  <si>
    <t>Supabase Auth, Clerk, or NextAuth</t>
  </si>
  <si>
    <t>Hosting</t>
  </si>
  <si>
    <t>Vercel for app; Supabase/Neon for database</t>
  </si>
  <si>
    <t>5. MVP Build Steps</t>
  </si>
  <si>
    <t>Step</t>
  </si>
  <si>
    <t>Deliverable</t>
  </si>
  <si>
    <t>Create database tables for expenses, savings, categories, and budgets.</t>
  </si>
  <si>
    <t>Build entry forms for expenses and savings transactions.</t>
  </si>
  <si>
    <t>Create dashboard API endpoints for totals and grouped summaries.</t>
  </si>
  <si>
    <t>Build charts for monthly, daily, category, subcategory, and fund balances.</t>
  </si>
  <si>
    <t>Add settings page for categories, subcategories, funds, and target months.</t>
  </si>
  <si>
    <t>Import existing workbook data into the database.</t>
  </si>
  <si>
    <t>Web App Plan</t>
  </si>
  <si>
    <t>Blueprint for converting the workbook into a web application.</t>
  </si>
  <si>
    <t>Personal Finance Web App — Sample Design</t>
  </si>
  <si>
    <t>Navigation</t>
  </si>
  <si>
    <t>Reports</t>
  </si>
  <si>
    <t>Overview Dashboard</t>
  </si>
  <si>
    <t>Selected Month: Aug 2026  •  Currency: Philippine Peso (₱)</t>
  </si>
  <si>
    <t>₱16,144</t>
  </si>
  <si>
    <t>From Expense Dashboard</t>
  </si>
  <si>
    <t>Budget Left</t>
  </si>
  <si>
    <t>₱21,006</t>
  </si>
  <si>
    <t>Remaining from monthly budget</t>
  </si>
  <si>
    <t>₱144,000</t>
  </si>
  <si>
    <t>Current savings balance</t>
  </si>
  <si>
    <t>EF Progress</t>
  </si>
  <si>
    <t>Emergency fund progress</t>
  </si>
  <si>
    <t>Monthly Spend Trend</t>
  </si>
  <si>
    <t>Column chart: monthly expenses vs savings</t>
  </si>
  <si>
    <t>Category Breakdown</t>
  </si>
  <si>
    <t>Bar chart: category and subcategory totals</t>
  </si>
  <si>
    <t>Savings Progress</t>
  </si>
  <si>
    <t>Line/column chart: net savings and running balance</t>
  </si>
  <si>
    <t>Emergency Fund Goal</t>
  </si>
  <si>
    <t>Progress ring or horizontal progress bar</t>
  </si>
  <si>
    <t>Quick Entry Form</t>
  </si>
  <si>
    <t>Type</t>
  </si>
  <si>
    <t>Expense / Savings</t>
  </si>
  <si>
    <t>₱0.00</t>
  </si>
  <si>
    <t>Category / Fund</t>
  </si>
  <si>
    <t>Dropdown</t>
  </si>
  <si>
    <t>Optional</t>
  </si>
  <si>
    <t>Action</t>
  </si>
  <si>
    <t>Save Entry</t>
  </si>
  <si>
    <t>A blue, white, and gray dashboard concept based on expenses, savings, budgets, emergency fund, and settings.</t>
  </si>
  <si>
    <t>Token / Component</t>
  </si>
  <si>
    <t>Value</t>
  </si>
  <si>
    <t>Usage</t>
  </si>
  <si>
    <t>Component</t>
  </si>
  <si>
    <t>Style</t>
  </si>
  <si>
    <t>Primary Blue</t>
  </si>
  <si>
    <t>#1E3A8A</t>
  </si>
  <si>
    <t>Headers and major labels</t>
  </si>
  <si>
    <t>Cards</t>
  </si>
  <si>
    <t>White fill + blue top border</t>
  </si>
  <si>
    <t>Accent Blue</t>
  </si>
  <si>
    <t>#2563EB</t>
  </si>
  <si>
    <t>Buttons and emphasis</t>
  </si>
  <si>
    <t>Tables</t>
  </si>
  <si>
    <t>Gray header + white body</t>
  </si>
  <si>
    <t>Light Blue</t>
  </si>
  <si>
    <t>#EFF6FF</t>
  </si>
  <si>
    <t>Selected nav and highlights</t>
  </si>
  <si>
    <t>Blue and gray series</t>
  </si>
  <si>
    <t>Gray Text</t>
  </si>
  <si>
    <t>#64748B</t>
  </si>
  <si>
    <t>Helper text and subtitles</t>
  </si>
  <si>
    <t>Forms</t>
  </si>
  <si>
    <t>Simple inputs + blue save button</t>
  </si>
  <si>
    <t>Background</t>
  </si>
  <si>
    <t>#FFFFFF</t>
  </si>
  <si>
    <t>Clean app canvas</t>
  </si>
  <si>
    <t>Currency</t>
  </si>
  <si>
    <t>Philippine Peso formatting</t>
  </si>
  <si>
    <t>Web App Mockup</t>
  </si>
  <si>
    <t>Visual sample design for the personal finance web application.</t>
  </si>
  <si>
    <t>Globe Load</t>
  </si>
  <si>
    <t>EWA Magnetic Phone Holder</t>
  </si>
  <si>
    <t>Shopee</t>
  </si>
  <si>
    <t>Cheese Rolls</t>
  </si>
  <si>
    <t>Wonder Nature Cleaner</t>
  </si>
  <si>
    <t>Shei Baon</t>
  </si>
  <si>
    <t>Allowance</t>
  </si>
  <si>
    <t>BPI fund transfer to Mama BDO</t>
  </si>
  <si>
    <t>Part time salary</t>
  </si>
  <si>
    <t>Yuki's food and cat litter</t>
  </si>
  <si>
    <t>Pet</t>
  </si>
  <si>
    <t>MEXC Initial Fund</t>
  </si>
  <si>
    <t>VIU</t>
  </si>
  <si>
    <t>Wife hair color</t>
  </si>
  <si>
    <t>Wife Allowance</t>
  </si>
  <si>
    <t>SM Cinema</t>
  </si>
  <si>
    <t>Yapari Steak</t>
  </si>
  <si>
    <t>Grab Pasig City</t>
  </si>
  <si>
    <t>Yabu</t>
  </si>
  <si>
    <t>Netflix</t>
  </si>
  <si>
    <t>Caramia</t>
  </si>
  <si>
    <t>SM Cinema Popcorn</t>
  </si>
  <si>
    <t>Caltex Magallenes</t>
  </si>
  <si>
    <t>Jollibee</t>
  </si>
  <si>
    <t>Bills payment</t>
  </si>
  <si>
    <t>Monthly Income</t>
  </si>
  <si>
    <r>
      <t xml:space="preserve">2. Minimum </t>
    </r>
    <r>
      <rPr>
        <b/>
        <sz val="11"/>
        <color theme="1"/>
        <rFont val="Aptos Narrow"/>
        <family val="2"/>
        <scheme val="minor"/>
      </rPr>
      <t>investment</t>
    </r>
    <r>
      <rPr>
        <sz val="11"/>
        <color theme="1"/>
        <rFont val="Aptos Narrow"/>
        <family val="2"/>
        <scheme val="minor"/>
      </rPr>
      <t xml:space="preserve"> per month</t>
    </r>
  </si>
  <si>
    <r>
      <t xml:space="preserve">1. How much </t>
    </r>
    <r>
      <rPr>
        <b/>
        <sz val="11"/>
        <color theme="1"/>
        <rFont val="Aptos Narrow"/>
        <family val="2"/>
        <scheme val="minor"/>
      </rPr>
      <t>investment</t>
    </r>
    <r>
      <rPr>
        <sz val="11"/>
        <color theme="1"/>
        <rFont val="Aptos Narrow"/>
        <family val="2"/>
        <scheme val="minor"/>
      </rPr>
      <t xml:space="preserve"> to replace Income</t>
    </r>
  </si>
  <si>
    <r>
      <t>3. Target Emergency Fund (</t>
    </r>
    <r>
      <rPr>
        <b/>
        <sz val="11"/>
        <color theme="1"/>
        <rFont val="Aptos Narrow"/>
        <family val="2"/>
        <scheme val="minor"/>
      </rPr>
      <t>high yield savings account</t>
    </r>
    <r>
      <rPr>
        <sz val="11"/>
        <color theme="1"/>
        <rFont val="Aptos Narrow"/>
        <family val="2"/>
        <scheme val="minor"/>
      </rPr>
      <t>)</t>
    </r>
  </si>
  <si>
    <r>
      <t xml:space="preserve">4. Maximum </t>
    </r>
    <r>
      <rPr>
        <b/>
        <sz val="11"/>
        <color theme="1"/>
        <rFont val="Aptos Narrow"/>
        <family val="2"/>
        <scheme val="minor"/>
      </rPr>
      <t>Expenses</t>
    </r>
    <r>
      <rPr>
        <sz val="11"/>
        <color theme="1"/>
        <rFont val="Aptos Narrow"/>
        <family val="2"/>
        <scheme val="minor"/>
      </rPr>
      <t xml:space="preserve"> per Month</t>
    </r>
  </si>
  <si>
    <t>Waifu Baon</t>
  </si>
  <si>
    <t>Weight Protein</t>
  </si>
  <si>
    <t>Alfamart Grace</t>
  </si>
  <si>
    <t>ATP</t>
  </si>
  <si>
    <t>Remaining Balance from Expenses</t>
  </si>
  <si>
    <t>August 2026 Expense Archive</t>
  </si>
  <si>
    <t>Archived expense records for August 1–12, 2026. This sheet is retained for historical reference.</t>
  </si>
  <si>
    <t>August 2026 Archive</t>
  </si>
  <si>
    <t>Historical copy of all August 2026 expense records.</t>
  </si>
  <si>
    <t>Dashboard totals combine archived August records with new entries from the Expenses sheet. Select a month and enter a budget to refresh the view.</t>
  </si>
  <si>
    <t>Repaid expense from savings</t>
  </si>
  <si>
    <t>Avida Almiera Lot</t>
  </si>
  <si>
    <t>Savings Rate</t>
  </si>
  <si>
    <t>Allocation</t>
  </si>
  <si>
    <t>Monthly</t>
  </si>
  <si>
    <t>Minimum Investment</t>
  </si>
  <si>
    <t>Savings Plan</t>
  </si>
  <si>
    <t>Total Combined Salary</t>
  </si>
  <si>
    <t>Eric</t>
  </si>
  <si>
    <t>Shei</t>
  </si>
  <si>
    <t>Fixed Needs/Bills</t>
  </si>
  <si>
    <t>Car Insurance</t>
  </si>
  <si>
    <t>Easycash (Car)</t>
  </si>
  <si>
    <t>Avida Investment</t>
  </si>
  <si>
    <t>Parking Rent</t>
  </si>
  <si>
    <t>Condo Dues</t>
  </si>
  <si>
    <t>Grocery</t>
  </si>
  <si>
    <t>Allowance (Shei)</t>
  </si>
  <si>
    <t>Gas</t>
  </si>
  <si>
    <t>Anytime Fitness</t>
  </si>
  <si>
    <t>BALANCED SAVINGS PLAN</t>
  </si>
  <si>
    <t>Based on ₱182,000 combined monthly income, ₱82,358 fixed needs, and a 40% savings goal</t>
  </si>
  <si>
    <t>CURRENT POSITION</t>
  </si>
  <si>
    <t>Combined monthly salary</t>
  </si>
  <si>
    <t>Fixed needs / bills</t>
  </si>
  <si>
    <t>Available after fixed needs</t>
  </si>
  <si>
    <t>Fixed-needs rate</t>
  </si>
  <si>
    <t>40% savings goal feasible?</t>
  </si>
  <si>
    <t>Amount left after goal and fixed needs</t>
  </si>
  <si>
    <t>40% TARGET &amp; SAFETY NET</t>
  </si>
  <si>
    <t>Target monthly savings (40%)</t>
  </si>
  <si>
    <t>Automatic transfer per payday</t>
  </si>
  <si>
    <t>Monthly spending cap</t>
  </si>
  <si>
    <t>Variable spending allowance</t>
  </si>
  <si>
    <t>3-month emergency fund</t>
  </si>
  <si>
    <t>6-month emergency fund</t>
  </si>
  <si>
    <t>TWICE-MONTHLY PAYCHECK PLAN</t>
  </si>
  <si>
    <t>Use the same allocation on both fixed paydays; transfer savings immediately after salary is received.</t>
  </si>
  <si>
    <t>Paycheck 1</t>
  </si>
  <si>
    <t>Paycheck 2</t>
  </si>
  <si>
    <t>Monthly Total</t>
  </si>
  <si>
    <t>Combined salary received</t>
  </si>
  <si>
    <t>SAVE FIRST — 40%</t>
  </si>
  <si>
    <t>Minimum investment</t>
  </si>
  <si>
    <t>Emergency / savings reserve</t>
  </si>
  <si>
    <t>Reserve for fixed needs</t>
  </si>
  <si>
    <t>TOTAL SPENDING CAP</t>
  </si>
  <si>
    <t>Unassigned balance</t>
  </si>
  <si>
    <t>TOTAL ALLOCATED</t>
  </si>
  <si>
    <t>SAVINGS ALLOCATION DETAIL</t>
  </si>
  <si>
    <t>Savings Bucket</t>
  </si>
  <si>
    <t>Per Payday</t>
  </si>
  <si>
    <t>Total Savings</t>
  </si>
  <si>
    <t>Build long-term income-replacement assets.</t>
  </si>
  <si>
    <t>Build the 3–6 month safety net first.</t>
  </si>
  <si>
    <t>Automatic transfer immediately after payday.</t>
  </si>
  <si>
    <t>Target share of combined monthly salary.</t>
  </si>
  <si>
    <t>PAYDAY ROUTINE</t>
  </si>
  <si>
    <t>Transfer savings first.</t>
  </si>
  <si>
    <t>Move ₱36,400 immediately: ₱9,100 to investments and ₱27,300 to the emergency/savings reserve.</t>
  </si>
  <si>
    <t>Reserve fixed needs.</t>
  </si>
  <si>
    <t>Set aside ₱41,179 for the scheduled bills listed below.</t>
  </si>
  <si>
    <t>Control variable spending.</t>
  </si>
  <si>
    <t>Limit flexible spending to ₱13,421 until the next payday.</t>
  </si>
  <si>
    <t>Review before the next payday.</t>
  </si>
  <si>
    <t>Move any unused variable allowance to the emergency fund.</t>
  </si>
  <si>
    <t>FIXED NEEDS / BILLS BREAKDOWN</t>
  </si>
  <si>
    <t>Fixed Need / Bill</t>
  </si>
  <si>
    <t>TOTAL FIXED NEEDS</t>
  </si>
  <si>
    <t>EMERGENCY FUND ROADMAP</t>
  </si>
  <si>
    <t>Milestone</t>
  </si>
  <si>
    <t>Target</t>
  </si>
  <si>
    <t>Monthly Contribution</t>
  </si>
  <si>
    <t>Estimated Months</t>
  </si>
  <si>
    <t>3-month safety net</t>
  </si>
  <si>
    <t>6-month safety net</t>
  </si>
  <si>
    <t>Balanced 40% savings plan with twice-monthly allocations and fixed-bill breakdown.</t>
  </si>
  <si>
    <t>Anytime Fitness -wife</t>
  </si>
  <si>
    <t>Vape</t>
  </si>
  <si>
    <t>Google Prime Video</t>
  </si>
  <si>
    <t>Savemore Acacia</t>
  </si>
  <si>
    <t>Crunchyroll</t>
  </si>
  <si>
    <t>Car Wash</t>
  </si>
  <si>
    <t>Watson Tsyani</t>
  </si>
  <si>
    <t>Turks</t>
  </si>
  <si>
    <t>Muji Coffee</t>
  </si>
  <si>
    <t>Blade Asia</t>
  </si>
  <si>
    <t>Grab Car</t>
  </si>
  <si>
    <t>Google Spotify</t>
  </si>
  <si>
    <t>Blade HB Wiper</t>
  </si>
  <si>
    <t>Shell Unleaded</t>
  </si>
  <si>
    <t>Calamansi Allowance</t>
  </si>
  <si>
    <t>3rd Month</t>
  </si>
  <si>
    <t>Calamansi allowance - MJ</t>
  </si>
  <si>
    <t>Google One</t>
  </si>
  <si>
    <t>Farm Manager Salary Register</t>
  </si>
  <si>
    <t>Record salary and allowance payments for the provincial farm manager. Add each new payment as a new table row.</t>
  </si>
  <si>
    <t>Total Recorded</t>
  </si>
  <si>
    <t>Latest Payment</t>
  </si>
  <si>
    <t>PAYMENT RECORDS</t>
  </si>
  <si>
    <t>Payment Date</t>
  </si>
  <si>
    <t>Compensation Type</t>
  </si>
  <si>
    <t>Pay Period</t>
  </si>
  <si>
    <t>Farm Manager Salary</t>
  </si>
  <si>
    <t>Record provincial farm manager salary and allowance payments.</t>
  </si>
  <si>
    <t>Allowance Payment every 24th of the Month</t>
  </si>
  <si>
    <t>Tony And Jackey</t>
  </si>
  <si>
    <t>Samgyup Mr Corea</t>
  </si>
  <si>
    <t>Scent Smith</t>
  </si>
  <si>
    <t>Grab Food</t>
  </si>
  <si>
    <t>Globe Billspay</t>
  </si>
  <si>
    <t>Meralco</t>
  </si>
  <si>
    <t>Egg and food</t>
  </si>
  <si>
    <t>Enshrouded Games</t>
  </si>
  <si>
    <t>Arabiana food</t>
  </si>
  <si>
    <t>Liquor and chips</t>
  </si>
  <si>
    <t>Zus</t>
  </si>
  <si>
    <t>Gym Clothes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</si>
</sst>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₱#,##0.00"/>
    <numFmt numFmtId="166" formatCode="mmm\ yyyy"/>
    <numFmt numFmtId="167" formatCode="0.0%"/>
    <numFmt numFmtId="168" formatCode="#,##0.00;[Red]#,##0.00"/>
    <numFmt numFmtId="169" formatCode="\₱#,##0.00;[Red]\-\₱#,##0.00"/>
  </numFmts>
  <fonts count="5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B728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64748B"/>
      <name val="Aptos Narrow"/>
      <family val="2"/>
      <scheme val="minor"/>
    </font>
    <font>
      <sz val="11"/>
      <color rgb="FF64748B"/>
      <name val="Aptos Narrow"/>
      <family val="2"/>
      <scheme val="minor"/>
    </font>
    <font>
      <b/>
      <sz val="11"/>
      <color rgb="FFFFFFFF"/>
      <name val="Aptos"/>
    </font>
    <font>
      <sz val="11"/>
      <color rgb="FF1F2937"/>
      <name val="Aptos"/>
    </font>
    <font>
      <b/>
      <sz val="11"/>
      <color rgb="FF1F2937"/>
      <name val="Aptos"/>
    </font>
    <font>
      <sz val="9"/>
      <color rgb="FF64748B"/>
      <name val="Aptos"/>
    </font>
    <font>
      <b/>
      <sz val="11"/>
      <color rgb="FF1E3A8A"/>
      <name val="Aptos"/>
    </font>
    <font>
      <b/>
      <sz val="11"/>
      <color rgb="FF1E3A8A"/>
      <name val="Aptos Narrow"/>
      <family val="2"/>
      <scheme val="minor"/>
    </font>
    <font>
      <sz val="11"/>
      <color rgb="FF1F2937"/>
      <name val="Aptos Narrow"/>
      <family val="2"/>
      <scheme val="minor"/>
    </font>
    <font>
      <b/>
      <sz val="22"/>
      <color rgb="FFFFFFFF"/>
      <name val="Aptos"/>
      <family val="2"/>
    </font>
    <font>
      <sz val="10"/>
      <color rgb="FF64748B"/>
      <name val="Aptos"/>
      <family val="2"/>
    </font>
    <font>
      <sz val="11"/>
      <color rgb="FF1F2937"/>
      <name val="Aptos"/>
      <family val="2"/>
    </font>
    <font>
      <sz val="11"/>
      <color theme="1"/>
      <name val="Aptos"/>
      <family val="2"/>
    </font>
    <font>
      <sz val="9"/>
      <color rgb="FF64748B"/>
      <name val="Aptos"/>
      <family val="2"/>
    </font>
    <font>
      <b/>
      <sz val="17"/>
      <color rgb="FF1E3A8A"/>
      <name val="Aptos"/>
      <family val="2"/>
    </font>
    <font>
      <i/>
      <sz val="9"/>
      <color rgb="FF1F2937"/>
      <name val="Aptos"/>
      <family val="2"/>
    </font>
    <font>
      <i/>
      <sz val="10"/>
      <color rgb="FF1F2937"/>
      <name val="Aptos"/>
      <family val="2"/>
    </font>
    <font>
      <b/>
      <sz val="11"/>
      <color rgb="FF1E3A8A"/>
      <name val="Aptos"/>
      <family val="2"/>
    </font>
    <font>
      <b/>
      <sz val="9"/>
      <color rgb="FF1E3A8A"/>
      <name val="Aptos"/>
      <family val="2"/>
    </font>
    <font>
      <sz val="9"/>
      <color rgb="FF1F2937"/>
      <name val="Aptos"/>
      <family val="2"/>
    </font>
    <font>
      <b/>
      <sz val="11"/>
      <color rgb="FF2563EB"/>
      <name val="Aptos Narrow"/>
      <family val="2"/>
      <scheme val="minor"/>
    </font>
    <font>
      <b/>
      <sz val="16"/>
      <color rgb="FF1E3A8A"/>
      <name val="Aptos Narrow"/>
      <family val="2"/>
      <scheme val="minor"/>
    </font>
    <font>
      <b/>
      <sz val="12"/>
      <color rgb="FF1E3A8A"/>
      <name val="Aptos Narrow"/>
      <family val="2"/>
      <scheme val="minor"/>
    </font>
    <font>
      <sz val="11"/>
      <color rgb="FF1E3A8A"/>
      <name val="Aptos"/>
    </font>
    <font>
      <b/>
      <sz val="16"/>
      <color rgb="FF1E3A8A"/>
      <name val="Aptos"/>
    </font>
    <font>
      <i/>
      <sz val="11"/>
      <color rgb="FF64748B"/>
      <name val="Aptos"/>
    </font>
    <font>
      <b/>
      <sz val="11"/>
      <color rgb="FFFFFFFF"/>
      <name val="Aptos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rgb="FF1F2937"/>
      <name val="Aptos"/>
    </font>
    <font>
      <i/>
      <sz val="11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F2937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2"/>
      <color rgb="FF1F2937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1"/>
      <color rgb="FF2F75B5"/>
      <name val="Aptos Narrow"/>
      <family val="2"/>
      <scheme val="minor"/>
    </font>
    <font>
      <sz val="11"/>
      <color rgb="FF444444"/>
      <name val="Aptos Narrow"/>
      <family val="2"/>
      <scheme val="minor"/>
    </font>
    <font>
      <b/>
      <sz val="17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374151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thick">
        <color rgb="FF2563EB"/>
      </top>
      <bottom/>
      <diagonal/>
    </border>
    <border>
      <left style="thin">
        <color rgb="FFE2E8F0"/>
      </left>
      <right/>
      <top style="thick">
        <color rgb="FF2563EB"/>
      </top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ck">
        <color rgb="FF2563EB"/>
      </top>
      <bottom/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2563EB"/>
      </bottom>
      <diagonal/>
    </border>
    <border>
      <left/>
      <right/>
      <top/>
      <bottom style="thin">
        <color rgb="FFF1F5F9"/>
      </bottom>
      <diagonal/>
    </border>
    <border>
      <left/>
      <right/>
      <top style="thin">
        <color rgb="FFF1F5F9"/>
      </top>
      <bottom style="thin">
        <color rgb="FFF1F5F9"/>
      </bottom>
      <diagonal/>
    </border>
    <border>
      <left/>
      <right/>
      <top style="thin">
        <color rgb="FFF1F5F9"/>
      </top>
      <bottom style="thin">
        <color rgb="FFE2E8F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/>
      <bottom style="thin">
        <color rgb="FFB4C7E7"/>
      </bottom>
      <diagonal/>
    </border>
    <border>
      <left/>
      <right/>
      <top style="thin">
        <color rgb="FFD6B656"/>
      </top>
      <bottom style="thin">
        <color rgb="FFD6B656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1">
    <xf numFmtId="0" fontId="0" fillId="0" borderId="0" xfId="0"/>
    <xf numFmtId="0" fontId="3" fillId="3" borderId="0" xfId="0" applyFont="1" applyFill="1" applyAlignment="1">
      <alignment horizontal="center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1" fillId="6" borderId="0" xfId="0" applyFont="1" applyFill="1"/>
    <xf numFmtId="165" fontId="1" fillId="6" borderId="0" xfId="0" applyNumberFormat="1" applyFont="1" applyFill="1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1" applyBorder="1"/>
    <xf numFmtId="166" fontId="0" fillId="7" borderId="0" xfId="0" applyNumberFormat="1" applyFill="1"/>
    <xf numFmtId="165" fontId="0" fillId="7" borderId="0" xfId="0" applyNumberFormat="1" applyFill="1"/>
    <xf numFmtId="167" fontId="0" fillId="7" borderId="0" xfId="0" applyNumberFormat="1" applyFill="1"/>
    <xf numFmtId="0" fontId="0" fillId="7" borderId="0" xfId="0" applyFill="1"/>
    <xf numFmtId="0" fontId="0" fillId="7" borderId="4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7" borderId="0" xfId="0" applyFont="1" applyFill="1"/>
    <xf numFmtId="0" fontId="11" fillId="8" borderId="0" xfId="0" applyFont="1" applyFill="1"/>
    <xf numFmtId="0" fontId="11" fillId="7" borderId="12" xfId="0" applyFont="1" applyFill="1" applyBorder="1"/>
    <xf numFmtId="0" fontId="11" fillId="7" borderId="13" xfId="0" applyFont="1" applyFill="1" applyBorder="1"/>
    <xf numFmtId="0" fontId="11" fillId="7" borderId="4" xfId="0" applyFont="1" applyFill="1" applyBorder="1"/>
    <xf numFmtId="0" fontId="15" fillId="11" borderId="0" xfId="0" applyFont="1" applyFill="1"/>
    <xf numFmtId="0" fontId="16" fillId="7" borderId="0" xfId="0" applyFont="1" applyFill="1"/>
    <xf numFmtId="0" fontId="19" fillId="7" borderId="0" xfId="0" applyFont="1" applyFill="1" applyAlignment="1">
      <alignment horizontal="left"/>
    </xf>
    <xf numFmtId="0" fontId="19" fillId="7" borderId="0" xfId="0" applyFont="1" applyFill="1" applyAlignment="1">
      <alignment horizontal="right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20" fillId="0" borderId="0" xfId="0" applyFont="1"/>
    <xf numFmtId="0" fontId="21" fillId="7" borderId="8" xfId="0" applyFont="1" applyFill="1" applyBorder="1" applyAlignment="1">
      <alignment horizontal="left"/>
    </xf>
    <xf numFmtId="0" fontId="21" fillId="7" borderId="7" xfId="0" applyFont="1" applyFill="1" applyBorder="1" applyAlignment="1">
      <alignment horizontal="right"/>
    </xf>
    <xf numFmtId="0" fontId="21" fillId="7" borderId="8" xfId="0" applyFont="1" applyFill="1" applyBorder="1" applyAlignment="1">
      <alignment horizontal="right"/>
    </xf>
    <xf numFmtId="0" fontId="21" fillId="7" borderId="7" xfId="0" applyFont="1" applyFill="1" applyBorder="1"/>
    <xf numFmtId="0" fontId="21" fillId="7" borderId="8" xfId="0" applyFont="1" applyFill="1" applyBorder="1" applyAlignment="1">
      <alignment horizontal="center"/>
    </xf>
    <xf numFmtId="0" fontId="19" fillId="7" borderId="11" xfId="0" applyFont="1" applyFill="1" applyBorder="1" applyAlignment="1">
      <alignment horizontal="right"/>
    </xf>
    <xf numFmtId="166" fontId="22" fillId="7" borderId="9" xfId="0" applyNumberFormat="1" applyFont="1" applyFill="1" applyBorder="1" applyAlignment="1">
      <alignment horizontal="left"/>
    </xf>
    <xf numFmtId="0" fontId="22" fillId="7" borderId="0" xfId="0" applyFont="1" applyFill="1" applyAlignment="1">
      <alignment horizontal="right"/>
    </xf>
    <xf numFmtId="165" fontId="22" fillId="7" borderId="9" xfId="0" applyNumberFormat="1" applyFont="1" applyFill="1" applyBorder="1" applyAlignment="1">
      <alignment horizontal="right"/>
    </xf>
    <xf numFmtId="165" fontId="22" fillId="7" borderId="0" xfId="0" applyNumberFormat="1" applyFont="1" applyFill="1"/>
    <xf numFmtId="165" fontId="22" fillId="7" borderId="9" xfId="0" applyNumberFormat="1" applyFont="1" applyFill="1" applyBorder="1" applyAlignment="1">
      <alignment horizontal="left"/>
    </xf>
    <xf numFmtId="165" fontId="22" fillId="7" borderId="0" xfId="0" applyNumberFormat="1" applyFont="1" applyFill="1" applyAlignment="1">
      <alignment horizontal="right"/>
    </xf>
    <xf numFmtId="0" fontId="22" fillId="7" borderId="0" xfId="0" applyFont="1" applyFill="1"/>
    <xf numFmtId="0" fontId="22" fillId="7" borderId="9" xfId="0" applyFont="1" applyFill="1" applyBorder="1" applyAlignment="1">
      <alignment horizontal="center"/>
    </xf>
    <xf numFmtId="0" fontId="19" fillId="7" borderId="12" xfId="0" applyFont="1" applyFill="1" applyBorder="1" applyAlignment="1">
      <alignment horizontal="right"/>
    </xf>
    <xf numFmtId="0" fontId="19" fillId="7" borderId="9" xfId="0" applyFont="1" applyFill="1" applyBorder="1" applyAlignment="1">
      <alignment horizontal="left"/>
    </xf>
    <xf numFmtId="0" fontId="19" fillId="7" borderId="9" xfId="0" applyFont="1" applyFill="1" applyBorder="1" applyAlignment="1">
      <alignment horizontal="right"/>
    </xf>
    <xf numFmtId="0" fontId="19" fillId="7" borderId="9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left"/>
    </xf>
    <xf numFmtId="0" fontId="19" fillId="7" borderId="4" xfId="0" applyFont="1" applyFill="1" applyBorder="1" applyAlignment="1">
      <alignment horizontal="right"/>
    </xf>
    <xf numFmtId="0" fontId="19" fillId="7" borderId="10" xfId="0" applyFont="1" applyFill="1" applyBorder="1" applyAlignment="1">
      <alignment horizontal="right"/>
    </xf>
    <xf numFmtId="0" fontId="19" fillId="7" borderId="4" xfId="0" applyFont="1" applyFill="1" applyBorder="1"/>
    <xf numFmtId="0" fontId="19" fillId="7" borderId="10" xfId="0" applyFont="1" applyFill="1" applyBorder="1" applyAlignment="1">
      <alignment horizontal="center"/>
    </xf>
    <xf numFmtId="0" fontId="19" fillId="7" borderId="13" xfId="0" applyFont="1" applyFill="1" applyBorder="1" applyAlignment="1">
      <alignment horizontal="right"/>
    </xf>
    <xf numFmtId="0" fontId="26" fillId="11" borderId="0" xfId="0" applyFont="1" applyFill="1" applyAlignment="1">
      <alignment horizontal="center"/>
    </xf>
    <xf numFmtId="0" fontId="26" fillId="11" borderId="0" xfId="0" applyFont="1" applyFill="1" applyAlignment="1">
      <alignment horizontal="right"/>
    </xf>
    <xf numFmtId="166" fontId="27" fillId="7" borderId="15" xfId="0" applyNumberFormat="1" applyFont="1" applyFill="1" applyBorder="1" applyAlignment="1">
      <alignment horizontal="left"/>
    </xf>
    <xf numFmtId="165" fontId="27" fillId="7" borderId="15" xfId="0" applyNumberFormat="1" applyFont="1" applyFill="1" applyBorder="1" applyAlignment="1">
      <alignment horizontal="right"/>
    </xf>
    <xf numFmtId="167" fontId="27" fillId="7" borderId="15" xfId="0" applyNumberFormat="1" applyFont="1" applyFill="1" applyBorder="1" applyAlignment="1">
      <alignment horizontal="right"/>
    </xf>
    <xf numFmtId="0" fontId="27" fillId="7" borderId="15" xfId="0" applyFont="1" applyFill="1" applyBorder="1" applyAlignment="1">
      <alignment horizontal="left"/>
    </xf>
    <xf numFmtId="0" fontId="27" fillId="7" borderId="15" xfId="0" applyFont="1" applyFill="1" applyBorder="1" applyAlignment="1">
      <alignment horizontal="center"/>
    </xf>
    <xf numFmtId="0" fontId="27" fillId="8" borderId="15" xfId="0" applyFont="1" applyFill="1" applyBorder="1" applyAlignment="1">
      <alignment horizontal="left"/>
    </xf>
    <xf numFmtId="165" fontId="27" fillId="8" borderId="15" xfId="0" applyNumberFormat="1" applyFont="1" applyFill="1" applyBorder="1" applyAlignment="1">
      <alignment horizontal="right"/>
    </xf>
    <xf numFmtId="167" fontId="27" fillId="8" borderId="15" xfId="0" applyNumberFormat="1" applyFont="1" applyFill="1" applyBorder="1" applyAlignment="1">
      <alignment horizontal="right"/>
    </xf>
    <xf numFmtId="166" fontId="27" fillId="7" borderId="16" xfId="0" applyNumberFormat="1" applyFont="1" applyFill="1" applyBorder="1" applyAlignment="1">
      <alignment horizontal="left"/>
    </xf>
    <xf numFmtId="165" fontId="27" fillId="7" borderId="16" xfId="0" applyNumberFormat="1" applyFont="1" applyFill="1" applyBorder="1" applyAlignment="1">
      <alignment horizontal="right"/>
    </xf>
    <xf numFmtId="167" fontId="27" fillId="7" borderId="16" xfId="0" applyNumberFormat="1" applyFont="1" applyFill="1" applyBorder="1" applyAlignment="1">
      <alignment horizontal="right"/>
    </xf>
    <xf numFmtId="0" fontId="27" fillId="7" borderId="16" xfId="0" applyFont="1" applyFill="1" applyBorder="1" applyAlignment="1">
      <alignment horizontal="left"/>
    </xf>
    <xf numFmtId="0" fontId="27" fillId="7" borderId="16" xfId="0" applyFont="1" applyFill="1" applyBorder="1" applyAlignment="1">
      <alignment horizontal="center"/>
    </xf>
    <xf numFmtId="0" fontId="27" fillId="8" borderId="16" xfId="0" applyFont="1" applyFill="1" applyBorder="1" applyAlignment="1">
      <alignment horizontal="left"/>
    </xf>
    <xf numFmtId="165" fontId="27" fillId="8" borderId="16" xfId="0" applyNumberFormat="1" applyFont="1" applyFill="1" applyBorder="1" applyAlignment="1">
      <alignment horizontal="right"/>
    </xf>
    <xf numFmtId="167" fontId="27" fillId="8" borderId="16" xfId="0" applyNumberFormat="1" applyFont="1" applyFill="1" applyBorder="1" applyAlignment="1">
      <alignment horizontal="right"/>
    </xf>
    <xf numFmtId="0" fontId="27" fillId="7" borderId="17" xfId="0" applyFont="1" applyFill="1" applyBorder="1" applyAlignment="1">
      <alignment horizontal="left"/>
    </xf>
    <xf numFmtId="165" fontId="27" fillId="7" borderId="17" xfId="0" applyNumberFormat="1" applyFont="1" applyFill="1" applyBorder="1" applyAlignment="1">
      <alignment horizontal="right"/>
    </xf>
    <xf numFmtId="167" fontId="27" fillId="7" borderId="17" xfId="0" applyNumberFormat="1" applyFont="1" applyFill="1" applyBorder="1" applyAlignment="1">
      <alignment horizontal="right"/>
    </xf>
    <xf numFmtId="166" fontId="27" fillId="7" borderId="17" xfId="0" applyNumberFormat="1" applyFont="1" applyFill="1" applyBorder="1" applyAlignment="1">
      <alignment horizontal="left"/>
    </xf>
    <xf numFmtId="0" fontId="27" fillId="7" borderId="17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8" fillId="7" borderId="0" xfId="0" applyFont="1" applyFill="1"/>
    <xf numFmtId="0" fontId="1" fillId="10" borderId="0" xfId="0" applyFont="1" applyFill="1"/>
    <xf numFmtId="165" fontId="0" fillId="10" borderId="0" xfId="0" applyNumberFormat="1" applyFill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9" fillId="7" borderId="8" xfId="0" applyFont="1" applyFill="1" applyBorder="1"/>
    <xf numFmtId="0" fontId="9" fillId="7" borderId="7" xfId="0" applyFont="1" applyFill="1" applyBorder="1"/>
    <xf numFmtId="0" fontId="29" fillId="7" borderId="0" xfId="0" applyFont="1" applyFill="1"/>
    <xf numFmtId="165" fontId="29" fillId="7" borderId="9" xfId="0" applyNumberFormat="1" applyFont="1" applyFill="1" applyBorder="1"/>
    <xf numFmtId="165" fontId="29" fillId="7" borderId="0" xfId="0" applyNumberFormat="1" applyFont="1" applyFill="1"/>
    <xf numFmtId="167" fontId="29" fillId="7" borderId="9" xfId="0" applyNumberFormat="1" applyFont="1" applyFill="1" applyBorder="1"/>
    <xf numFmtId="1" fontId="0" fillId="10" borderId="0" xfId="0" applyNumberFormat="1" applyFill="1"/>
    <xf numFmtId="0" fontId="0" fillId="7" borderId="0" xfId="0" applyFill="1" applyAlignment="1">
      <alignment horizontal="left"/>
    </xf>
    <xf numFmtId="0" fontId="1" fillId="10" borderId="0" xfId="0" applyFont="1" applyFill="1" applyAlignment="1">
      <alignment horizontal="left"/>
    </xf>
    <xf numFmtId="165" fontId="0" fillId="10" borderId="0" xfId="0" applyNumberFormat="1" applyFill="1" applyAlignment="1">
      <alignment horizontal="left"/>
    </xf>
    <xf numFmtId="0" fontId="3" fillId="9" borderId="18" xfId="0" applyFont="1" applyFill="1" applyBorder="1" applyAlignment="1">
      <alignment horizontal="left"/>
    </xf>
    <xf numFmtId="0" fontId="3" fillId="9" borderId="19" xfId="0" applyFont="1" applyFill="1" applyBorder="1" applyAlignment="1">
      <alignment horizontal="left"/>
    </xf>
    <xf numFmtId="0" fontId="3" fillId="9" borderId="20" xfId="0" applyFont="1" applyFill="1" applyBorder="1" applyAlignment="1">
      <alignment horizontal="left"/>
    </xf>
    <xf numFmtId="164" fontId="0" fillId="7" borderId="2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165" fontId="0" fillId="7" borderId="1" xfId="0" applyNumberFormat="1" applyFill="1" applyBorder="1" applyAlignment="1">
      <alignment horizontal="left"/>
    </xf>
    <xf numFmtId="166" fontId="0" fillId="7" borderId="1" xfId="0" applyNumberFormat="1" applyFill="1" applyBorder="1" applyAlignment="1">
      <alignment horizontal="left"/>
    </xf>
    <xf numFmtId="165" fontId="0" fillId="7" borderId="22" xfId="0" applyNumberFormat="1" applyFill="1" applyBorder="1" applyAlignment="1">
      <alignment horizontal="left"/>
    </xf>
    <xf numFmtId="164" fontId="0" fillId="7" borderId="23" xfId="0" applyNumberFormat="1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65" fontId="0" fillId="7" borderId="3" xfId="0" applyNumberFormat="1" applyFill="1" applyBorder="1" applyAlignment="1">
      <alignment horizontal="left"/>
    </xf>
    <xf numFmtId="166" fontId="0" fillId="7" borderId="3" xfId="0" applyNumberFormat="1" applyFill="1" applyBorder="1" applyAlignment="1">
      <alignment horizontal="left"/>
    </xf>
    <xf numFmtId="165" fontId="0" fillId="7" borderId="2" xfId="0" applyNumberFormat="1" applyFill="1" applyBorder="1" applyAlignment="1">
      <alignment horizontal="left"/>
    </xf>
    <xf numFmtId="0" fontId="0" fillId="7" borderId="1" xfId="0" applyFill="1" applyBorder="1"/>
    <xf numFmtId="0" fontId="15" fillId="11" borderId="1" xfId="0" applyFont="1" applyFill="1" applyBorder="1"/>
    <xf numFmtId="0" fontId="0" fillId="7" borderId="1" xfId="0" applyFill="1" applyBorder="1" applyAlignment="1">
      <alignment wrapText="1"/>
    </xf>
    <xf numFmtId="0" fontId="11" fillId="10" borderId="0" xfId="0" applyFont="1" applyFill="1"/>
    <xf numFmtId="0" fontId="14" fillId="10" borderId="0" xfId="0" applyFont="1" applyFill="1"/>
    <xf numFmtId="0" fontId="11" fillId="7" borderId="7" xfId="0" applyFont="1" applyFill="1" applyBorder="1"/>
    <xf numFmtId="0" fontId="11" fillId="7" borderId="9" xfId="0" applyFont="1" applyFill="1" applyBorder="1"/>
    <xf numFmtId="0" fontId="11" fillId="7" borderId="10" xfId="0" applyFont="1" applyFill="1" applyBorder="1"/>
    <xf numFmtId="0" fontId="11" fillId="7" borderId="11" xfId="0" applyFont="1" applyFill="1" applyBorder="1"/>
    <xf numFmtId="0" fontId="13" fillId="7" borderId="8" xfId="0" applyFont="1" applyFill="1" applyBorder="1"/>
    <xf numFmtId="0" fontId="32" fillId="7" borderId="9" xfId="0" applyFont="1" applyFill="1" applyBorder="1"/>
    <xf numFmtId="0" fontId="13" fillId="7" borderId="9" xfId="0" applyFont="1" applyFill="1" applyBorder="1"/>
    <xf numFmtId="10" fontId="32" fillId="7" borderId="9" xfId="0" applyNumberFormat="1" applyFont="1" applyFill="1" applyBorder="1"/>
    <xf numFmtId="0" fontId="11" fillId="8" borderId="6" xfId="0" applyFont="1" applyFill="1" applyBorder="1"/>
    <xf numFmtId="0" fontId="11" fillId="8" borderId="4" xfId="0" applyFont="1" applyFill="1" applyBorder="1"/>
    <xf numFmtId="0" fontId="11" fillId="8" borderId="9" xfId="0" applyFont="1" applyFill="1" applyBorder="1"/>
    <xf numFmtId="0" fontId="11" fillId="8" borderId="10" xfId="0" applyFont="1" applyFill="1" applyBorder="1"/>
    <xf numFmtId="0" fontId="11" fillId="8" borderId="25" xfId="0" applyFont="1" applyFill="1" applyBorder="1"/>
    <xf numFmtId="0" fontId="11" fillId="8" borderId="12" xfId="0" applyFont="1" applyFill="1" applyBorder="1"/>
    <xf numFmtId="0" fontId="11" fillId="8" borderId="13" xfId="0" applyFont="1" applyFill="1" applyBorder="1"/>
    <xf numFmtId="0" fontId="14" fillId="8" borderId="24" xfId="0" applyFont="1" applyFill="1" applyBorder="1"/>
    <xf numFmtId="0" fontId="33" fillId="8" borderId="9" xfId="0" applyFont="1" applyFill="1" applyBorder="1"/>
    <xf numFmtId="14" fontId="11" fillId="8" borderId="0" xfId="0" applyNumberFormat="1" applyFont="1" applyFill="1"/>
    <xf numFmtId="0" fontId="12" fillId="8" borderId="0" xfId="0" applyFont="1" applyFill="1"/>
    <xf numFmtId="0" fontId="10" fillId="4" borderId="0" xfId="0" applyFont="1" applyFill="1"/>
    <xf numFmtId="0" fontId="14" fillId="11" borderId="4" xfId="0" applyFont="1" applyFill="1" applyBorder="1"/>
    <xf numFmtId="0" fontId="12" fillId="7" borderId="5" xfId="0" applyFont="1" applyFill="1" applyBorder="1"/>
    <xf numFmtId="0" fontId="31" fillId="7" borderId="5" xfId="0" applyFont="1" applyFill="1" applyBorder="1"/>
    <xf numFmtId="0" fontId="11" fillId="7" borderId="5" xfId="0" applyFont="1" applyFill="1" applyBorder="1"/>
    <xf numFmtId="0" fontId="12" fillId="7" borderId="6" xfId="0" applyFont="1" applyFill="1" applyBorder="1"/>
    <xf numFmtId="0" fontId="31" fillId="7" borderId="6" xfId="0" applyFont="1" applyFill="1" applyBorder="1"/>
    <xf numFmtId="0" fontId="11" fillId="7" borderId="6" xfId="0" applyFont="1" applyFill="1" applyBorder="1"/>
    <xf numFmtId="0" fontId="34" fillId="12" borderId="0" xfId="0" applyFont="1" applyFill="1" applyAlignment="1">
      <alignment horizontal="center"/>
    </xf>
    <xf numFmtId="0" fontId="0" fillId="0" borderId="3" xfId="0" applyBorder="1"/>
    <xf numFmtId="168" fontId="0" fillId="0" borderId="0" xfId="0" applyNumberFormat="1"/>
    <xf numFmtId="168" fontId="36" fillId="0" borderId="0" xfId="0" applyNumberFormat="1" applyFont="1"/>
    <xf numFmtId="0" fontId="37" fillId="8" borderId="16" xfId="0" applyFont="1" applyFill="1" applyBorder="1" applyAlignment="1">
      <alignment horizontal="left"/>
    </xf>
    <xf numFmtId="167" fontId="37" fillId="8" borderId="16" xfId="0" applyNumberFormat="1" applyFont="1" applyFill="1" applyBorder="1" applyAlignment="1">
      <alignment horizontal="right"/>
    </xf>
    <xf numFmtId="169" fontId="37" fillId="8" borderId="16" xfId="0" applyNumberFormat="1" applyFont="1" applyFill="1" applyBorder="1" applyAlignment="1">
      <alignment horizontal="right"/>
    </xf>
    <xf numFmtId="1" fontId="0" fillId="0" borderId="0" xfId="0" applyNumberFormat="1"/>
    <xf numFmtId="168" fontId="35" fillId="0" borderId="0" xfId="0" applyNumberFormat="1" applyFont="1"/>
    <xf numFmtId="165" fontId="0" fillId="0" borderId="0" xfId="0" applyNumberFormat="1"/>
    <xf numFmtId="0" fontId="1" fillId="0" borderId="0" xfId="0" applyFont="1"/>
    <xf numFmtId="165" fontId="36" fillId="0" borderId="0" xfId="0" applyNumberFormat="1" applyFont="1"/>
    <xf numFmtId="0" fontId="38" fillId="0" borderId="0" xfId="0" applyFont="1" applyAlignment="1">
      <alignment wrapText="1"/>
    </xf>
    <xf numFmtId="167" fontId="0" fillId="0" borderId="0" xfId="0" applyNumberFormat="1" applyAlignment="1">
      <alignment horizontal="right"/>
    </xf>
    <xf numFmtId="0" fontId="43" fillId="0" borderId="0" xfId="0" applyFont="1" applyAlignment="1">
      <alignment horizontal="right"/>
    </xf>
    <xf numFmtId="0" fontId="3" fillId="14" borderId="0" xfId="0" applyFont="1" applyFill="1" applyAlignment="1">
      <alignment horizontal="center"/>
    </xf>
    <xf numFmtId="165" fontId="0" fillId="7" borderId="0" xfId="0" applyNumberFormat="1" applyFill="1" applyAlignment="1">
      <alignment horizontal="right"/>
    </xf>
    <xf numFmtId="0" fontId="1" fillId="17" borderId="0" xfId="0" applyFont="1" applyFill="1" applyAlignment="1">
      <alignment horizontal="left"/>
    </xf>
    <xf numFmtId="165" fontId="1" fillId="17" borderId="0" xfId="0" applyNumberFormat="1" applyFont="1" applyFill="1" applyAlignment="1">
      <alignment horizontal="right"/>
    </xf>
    <xf numFmtId="0" fontId="0" fillId="17" borderId="0" xfId="0" applyFill="1" applyAlignment="1">
      <alignment horizontal="left"/>
    </xf>
    <xf numFmtId="165" fontId="0" fillId="17" borderId="0" xfId="0" applyNumberFormat="1" applyFill="1" applyAlignment="1">
      <alignment horizontal="right"/>
    </xf>
    <xf numFmtId="0" fontId="1" fillId="7" borderId="0" xfId="0" applyFont="1" applyFill="1" applyAlignment="1">
      <alignment horizontal="left"/>
    </xf>
    <xf numFmtId="165" fontId="1" fillId="7" borderId="0" xfId="0" applyNumberFormat="1" applyFont="1" applyFill="1" applyAlignment="1">
      <alignment horizontal="right"/>
    </xf>
    <xf numFmtId="0" fontId="3" fillId="7" borderId="0" xfId="0" applyFont="1" applyFill="1" applyAlignment="1">
      <alignment horizontal="left"/>
    </xf>
    <xf numFmtId="165" fontId="3" fillId="7" borderId="0" xfId="0" applyNumberFormat="1" applyFont="1" applyFill="1" applyAlignment="1">
      <alignment horizontal="right"/>
    </xf>
    <xf numFmtId="165" fontId="0" fillId="7" borderId="0" xfId="0" applyNumberFormat="1" applyFill="1" applyAlignment="1">
      <alignment horizontal="right" wrapText="1"/>
    </xf>
    <xf numFmtId="165" fontId="0" fillId="17" borderId="0" xfId="0" applyNumberFormat="1" applyFill="1" applyAlignment="1">
      <alignment horizontal="right" wrapText="1"/>
    </xf>
    <xf numFmtId="165" fontId="1" fillId="7" borderId="0" xfId="0" applyNumberFormat="1" applyFont="1" applyFill="1" applyAlignment="1">
      <alignment horizontal="right" wrapText="1"/>
    </xf>
    <xf numFmtId="167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 wrapText="1"/>
    </xf>
    <xf numFmtId="0" fontId="0" fillId="7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7" borderId="0" xfId="0" applyFill="1" applyAlignment="1">
      <alignment horizontal="right" wrapText="1"/>
    </xf>
    <xf numFmtId="0" fontId="3" fillId="14" borderId="0" xfId="0" applyFont="1" applyFill="1" applyAlignment="1">
      <alignment horizontal="left"/>
    </xf>
    <xf numFmtId="0" fontId="3" fillId="14" borderId="0" xfId="0" applyFont="1" applyFill="1" applyAlignment="1">
      <alignment horizontal="right"/>
    </xf>
    <xf numFmtId="1" fontId="0" fillId="7" borderId="0" xfId="0" applyNumberFormat="1" applyFill="1" applyAlignment="1">
      <alignment horizontal="right"/>
    </xf>
    <xf numFmtId="0" fontId="0" fillId="17" borderId="26" xfId="0" applyFill="1" applyBorder="1" applyAlignment="1">
      <alignment horizontal="left"/>
    </xf>
    <xf numFmtId="165" fontId="0" fillId="17" borderId="26" xfId="0" applyNumberFormat="1" applyFill="1" applyBorder="1" applyAlignment="1">
      <alignment horizontal="right"/>
    </xf>
    <xf numFmtId="1" fontId="0" fillId="17" borderId="26" xfId="0" applyNumberFormat="1" applyFill="1" applyBorder="1" applyAlignment="1">
      <alignment horizontal="right"/>
    </xf>
    <xf numFmtId="0" fontId="44" fillId="0" borderId="0" xfId="0" applyFont="1"/>
    <xf numFmtId="0" fontId="48" fillId="7" borderId="0" xfId="0" applyFont="1" applyFill="1"/>
    <xf numFmtId="0" fontId="49" fillId="7" borderId="0" xfId="0" applyFont="1" applyFill="1"/>
    <xf numFmtId="0" fontId="46" fillId="18" borderId="1" xfId="0" applyFont="1" applyFill="1" applyBorder="1"/>
    <xf numFmtId="169" fontId="47" fillId="18" borderId="1" xfId="0" applyNumberFormat="1" applyFont="1" applyFill="1" applyBorder="1" applyAlignment="1">
      <alignment horizontal="right"/>
    </xf>
    <xf numFmtId="164" fontId="47" fillId="18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0" fontId="35" fillId="0" borderId="0" xfId="0" applyFont="1"/>
    <xf numFmtId="165" fontId="50" fillId="7" borderId="9" xfId="0" applyNumberFormat="1" applyFont="1" applyFill="1" applyBorder="1" applyAlignment="1">
      <alignment horizontal="right"/>
    </xf>
    <xf numFmtId="0" fontId="7" fillId="9" borderId="0" xfId="0" applyFont="1" applyFill="1"/>
    <xf numFmtId="0" fontId="0" fillId="0" borderId="0" xfId="0"/>
    <xf numFmtId="0" fontId="8" fillId="0" borderId="0" xfId="0" applyFont="1"/>
    <xf numFmtId="0" fontId="25" fillId="7" borderId="14" xfId="0" applyFont="1" applyFill="1" applyBorder="1"/>
    <xf numFmtId="0" fontId="17" fillId="9" borderId="0" xfId="0" applyFont="1" applyFill="1" applyAlignment="1">
      <alignment horizontal="center"/>
    </xf>
    <xf numFmtId="0" fontId="18" fillId="7" borderId="0" xfId="0" applyFont="1" applyFill="1" applyAlignment="1">
      <alignment horizontal="left"/>
    </xf>
    <xf numFmtId="0" fontId="25" fillId="7" borderId="14" xfId="0" applyFont="1" applyFill="1" applyBorder="1" applyAlignment="1">
      <alignment horizontal="left"/>
    </xf>
    <xf numFmtId="0" fontId="23" fillId="7" borderId="0" xfId="0" applyFont="1" applyFill="1" applyAlignment="1">
      <alignment wrapText="1"/>
    </xf>
    <xf numFmtId="0" fontId="24" fillId="7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9" fillId="0" borderId="0" xfId="0" applyFont="1"/>
    <xf numFmtId="0" fontId="15" fillId="7" borderId="14" xfId="0" applyFont="1" applyFill="1" applyBorder="1"/>
    <xf numFmtId="0" fontId="4" fillId="9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30" fillId="10" borderId="1" xfId="0" applyFont="1" applyFill="1" applyBorder="1"/>
    <xf numFmtId="0" fontId="0" fillId="10" borderId="1" xfId="0" applyFill="1" applyBorder="1"/>
    <xf numFmtId="0" fontId="7" fillId="9" borderId="1" xfId="0" applyFont="1" applyFill="1" applyBorder="1"/>
    <xf numFmtId="0" fontId="0" fillId="0" borderId="1" xfId="0" applyBorder="1"/>
    <xf numFmtId="0" fontId="8" fillId="0" borderId="1" xfId="0" applyFont="1" applyBorder="1"/>
    <xf numFmtId="0" fontId="15" fillId="0" borderId="0" xfId="0" applyFont="1"/>
    <xf numFmtId="0" fontId="0" fillId="0" borderId="12" xfId="0" applyBorder="1"/>
    <xf numFmtId="0" fontId="0" fillId="9" borderId="0" xfId="0" applyFill="1"/>
    <xf numFmtId="0" fontId="6" fillId="0" borderId="0" xfId="0" applyFont="1"/>
    <xf numFmtId="0" fontId="39" fillId="13" borderId="0" xfId="0" applyFont="1" applyFill="1" applyAlignment="1">
      <alignment horizontal="left"/>
    </xf>
    <xf numFmtId="0" fontId="39" fillId="1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13" borderId="0" xfId="0" applyFont="1" applyFill="1"/>
    <xf numFmtId="0" fontId="41" fillId="13" borderId="0" xfId="0" applyFont="1" applyFill="1"/>
    <xf numFmtId="0" fontId="42" fillId="15" borderId="0" xfId="0" applyFont="1" applyFill="1"/>
    <xf numFmtId="165" fontId="42" fillId="15" borderId="0" xfId="0" applyNumberFormat="1" applyFont="1" applyFill="1" applyAlignment="1">
      <alignment horizontal="right"/>
    </xf>
    <xf numFmtId="0" fontId="40" fillId="16" borderId="27" xfId="0" applyFont="1" applyFill="1" applyBorder="1" applyAlignment="1">
      <alignment wrapText="1"/>
    </xf>
    <xf numFmtId="0" fontId="39" fillId="13" borderId="0" xfId="0" applyFont="1" applyFill="1"/>
    <xf numFmtId="165" fontId="39" fillId="13" borderId="0" xfId="0" applyNumberFormat="1" applyFont="1" applyFill="1" applyAlignment="1">
      <alignment horizontal="right"/>
    </xf>
    <xf numFmtId="0" fontId="4" fillId="12" borderId="1" xfId="0" applyFont="1" applyFill="1" applyBorder="1" applyAlignment="1">
      <alignment vertical="center"/>
    </xf>
    <xf numFmtId="0" fontId="45" fillId="0" borderId="1" xfId="0" applyFont="1" applyBorder="1" applyAlignment="1">
      <alignment wrapText="1"/>
    </xf>
    <xf numFmtId="0" fontId="3" fillId="19" borderId="1" xfId="0" applyFont="1" applyFill="1" applyBorder="1"/>
  </cellXfs>
  <cellStyles count="2">
    <cellStyle name="Accent1" xfId="1" builtinId="29"/>
    <cellStyle name="Normal" xfId="0" builtinId="0"/>
  </cellStyles>
  <dxfs count="2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\₱#,##0.00;[Red]\-\₱#,##0.00"/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alignment horizont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\₱#,##0.00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mm\ yyyy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₱#,##0.00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color rgb="FFFFFFFF"/>
      </font>
      <fill>
        <patternFill patternType="solid">
          <fgColor indexed="64"/>
          <bgColor rgb="FF1E3A8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6" formatCode="mmm\ yyyy"/>
    </dxf>
    <dxf>
      <numFmt numFmtId="165" formatCode="\₱#,##0.00"/>
      <alignment horizontal="right"/>
    </dxf>
    <dxf>
      <numFmt numFmtId="164" formatCode="yyyy\-mm\-dd"/>
      <alignment horizontal="center"/>
    </dxf>
    <dxf>
      <font>
        <b/>
        <color rgb="FFFFFFFF"/>
      </font>
      <fill>
        <patternFill patternType="solid">
          <fgColor indexed="64"/>
          <bgColor rgb="FF374151"/>
        </patternFill>
      </fill>
      <alignment horizontal="center"/>
    </dxf>
    <dxf>
      <numFmt numFmtId="1" formatCode="0"/>
    </dxf>
    <dxf>
      <numFmt numFmtId="166" formatCode="mmm\ yyyy"/>
    </dxf>
    <dxf>
      <numFmt numFmtId="165" formatCode="\₱#,##0.00"/>
      <alignment horizontal="right"/>
    </dxf>
    <dxf>
      <numFmt numFmtId="164" formatCode="yyyy\-mm\-dd"/>
      <alignment horizontal="center"/>
    </dxf>
    <dxf>
      <font>
        <b/>
        <color rgb="FFFFFFFF"/>
      </font>
      <fill>
        <patternFill patternType="solid">
          <fgColor indexed="64"/>
          <bgColor rgb="FF374151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numRef>
              <c:f>Dashboard!$A$14:$A$25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Dashboard!$B$14:$B$25</c:f>
              <c:numCache>
                <c:formatCode>\₱#,##0.00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95959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8-4D5A-B234-5C137737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83696"/>
        <c:axId val="1525097552"/>
      </c:barChart>
      <c:dateAx>
        <c:axId val="179383696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097552"/>
        <c:crosses val="autoZero"/>
        <c:auto val="0"/>
        <c:lblOffset val="100"/>
        <c:baseTimeUnit val="months"/>
      </c:dateAx>
      <c:valAx>
        <c:axId val="15250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Amount (₱)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₱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Dashboard!$J$13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rgbClr val="93C5FD"/>
            </a:solidFill>
            <a:ln>
              <a:noFill/>
            </a:ln>
            <a:effectLst/>
          </c:spPr>
          <c:invertIfNegative val="0"/>
          <c:cat>
            <c:numRef>
              <c:f>Dashboard!$I$14:$I$44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Dashboard!$J$14:$J$44</c:f>
              <c:numCache>
                <c:formatCode>\₱#,##0.00</c:formatCode>
                <c:ptCount val="31"/>
                <c:pt idx="0">
                  <c:v>6000</c:v>
                </c:pt>
                <c:pt idx="1">
                  <c:v>754</c:v>
                </c:pt>
                <c:pt idx="2">
                  <c:v>9390</c:v>
                </c:pt>
                <c:pt idx="3">
                  <c:v>100</c:v>
                </c:pt>
                <c:pt idx="4">
                  <c:v>407</c:v>
                </c:pt>
                <c:pt idx="5">
                  <c:v>3630</c:v>
                </c:pt>
                <c:pt idx="6">
                  <c:v>500</c:v>
                </c:pt>
                <c:pt idx="7">
                  <c:v>1920</c:v>
                </c:pt>
                <c:pt idx="8">
                  <c:v>11337</c:v>
                </c:pt>
                <c:pt idx="9">
                  <c:v>1800</c:v>
                </c:pt>
                <c:pt idx="10">
                  <c:v>0</c:v>
                </c:pt>
                <c:pt idx="11">
                  <c:v>3797</c:v>
                </c:pt>
                <c:pt idx="12">
                  <c:v>21600</c:v>
                </c:pt>
                <c:pt idx="13">
                  <c:v>4441</c:v>
                </c:pt>
                <c:pt idx="14">
                  <c:v>0</c:v>
                </c:pt>
                <c:pt idx="15">
                  <c:v>7625</c:v>
                </c:pt>
                <c:pt idx="16">
                  <c:v>2259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7904</c:v>
                </c:pt>
                <c:pt idx="21">
                  <c:v>0</c:v>
                </c:pt>
                <c:pt idx="22">
                  <c:v>0</c:v>
                </c:pt>
                <c:pt idx="23">
                  <c:v>1520</c:v>
                </c:pt>
                <c:pt idx="24">
                  <c:v>0</c:v>
                </c:pt>
                <c:pt idx="25">
                  <c:v>0</c:v>
                </c:pt>
                <c:pt idx="26">
                  <c:v>1698</c:v>
                </c:pt>
                <c:pt idx="27">
                  <c:v>5821</c:v>
                </c:pt>
                <c:pt idx="28">
                  <c:v>0</c:v>
                </c:pt>
                <c:pt idx="29">
                  <c:v>3456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C-44F8-A47A-261947B4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35424"/>
        <c:axId val="1525106192"/>
      </c:barChart>
      <c:catAx>
        <c:axId val="1795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06192"/>
        <c:crosses val="autoZero"/>
        <c:auto val="1"/>
        <c:lblAlgn val="ctr"/>
        <c:lblOffset val="100"/>
        <c:tickLblSkip val="2"/>
        <c:noMultiLvlLbl val="0"/>
      </c:catAx>
      <c:valAx>
        <c:axId val="15251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Amount (₱)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₱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3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Dashboard!$F$13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rgbClr val="64748B"/>
            </a:solidFill>
            <a:ln>
              <a:noFill/>
            </a:ln>
            <a:effectLst/>
          </c:spPr>
          <c:invertIfNegative val="0"/>
          <c:dLbls>
            <c:numFmt formatCode="\₱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Dashboard!$E$14:$E$23</c:f>
              <c:strCache>
                <c:ptCount val="10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Housing</c:v>
                </c:pt>
                <c:pt idx="4">
                  <c:v>Healthcare</c:v>
                </c:pt>
                <c:pt idx="5">
                  <c:v>Entertainment</c:v>
                </c:pt>
                <c:pt idx="6">
                  <c:v>Personal</c:v>
                </c:pt>
                <c:pt idx="7">
                  <c:v>Savings</c:v>
                </c:pt>
                <c:pt idx="8">
                  <c:v>Other</c:v>
                </c:pt>
                <c:pt idx="9">
                  <c:v>Grab</c:v>
                </c:pt>
              </c:strCache>
            </c:strRef>
          </c:cat>
          <c:val>
            <c:numRef>
              <c:f>Dashboard!$F$14:$F$23</c:f>
              <c:numCache>
                <c:formatCode>\₱#,##0.00</c:formatCode>
                <c:ptCount val="10"/>
                <c:pt idx="0">
                  <c:v>4013</c:v>
                </c:pt>
                <c:pt idx="1">
                  <c:v>12814</c:v>
                </c:pt>
                <c:pt idx="2">
                  <c:v>7519</c:v>
                </c:pt>
                <c:pt idx="3">
                  <c:v>24754</c:v>
                </c:pt>
                <c:pt idx="4">
                  <c:v>0</c:v>
                </c:pt>
                <c:pt idx="5">
                  <c:v>3396</c:v>
                </c:pt>
                <c:pt idx="6">
                  <c:v>32715</c:v>
                </c:pt>
                <c:pt idx="7">
                  <c:v>0</c:v>
                </c:pt>
                <c:pt idx="8">
                  <c:v>1390</c:v>
                </c:pt>
                <c:pt idx="9">
                  <c:v>7558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9-4B7C-8064-8AFD99B67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02000"/>
        <c:axId val="1544134160"/>
      </c:barChart>
      <c:catAx>
        <c:axId val="415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34160"/>
        <c:crosses val="autoZero"/>
        <c:auto val="1"/>
        <c:lblAlgn val="ctr"/>
        <c:lblOffset val="100"/>
        <c:noMultiLvlLbl val="0"/>
      </c:catAx>
      <c:valAx>
        <c:axId val="154413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Amount (₱)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₱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Savings and Running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'Savings Dashboard'!$D$15</c:f>
              <c:strCache>
                <c:ptCount val="1"/>
                <c:pt idx="0">
                  <c:v>Net Savings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'Savings Dashboard'!$A$16:$A$27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'Savings Dashboard'!$D$16:$D$27</c:f>
              <c:numCache>
                <c:formatCode>\₱#,##0.00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159730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A-4374-9DEE-D6F2DBDB99E2}"/>
            </c:ext>
          </c:extLst>
        </c:ser>
        <c:ser>
          <c:idx val="1"/>
          <c:order val="1"/>
          <c:tx>
            <c:strRef>
              <c:f>'Savings Dashboard'!$E$15</c:f>
              <c:strCache>
                <c:ptCount val="1"/>
                <c:pt idx="0">
                  <c:v>Running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'Savings Dashboard'!$A$16:$A$27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'Savings Dashboard'!$E$16:$E$27</c:f>
              <c:numCache>
                <c:formatCode>\₱#,##0.00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159730</c:v>
                </c:pt>
                <c:pt idx="8">
                  <c:v>159730</c:v>
                </c:pt>
                <c:pt idx="9">
                  <c:v>159730</c:v>
                </c:pt>
                <c:pt idx="10">
                  <c:v>159730</c:v>
                </c:pt>
                <c:pt idx="11">
                  <c:v>159730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A-4374-9DEE-D6F2DBDB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30800"/>
        <c:axId val="1525146032"/>
      </c:barChart>
      <c:dateAx>
        <c:axId val="17933080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46032"/>
        <c:crosses val="autoZero"/>
        <c:auto val="0"/>
        <c:lblOffset val="100"/>
        <c:baseTimeUnit val="months"/>
      </c:dateAx>
      <c:valAx>
        <c:axId val="15251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₱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'Savings Dashboard'!$H$15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₱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'Savings Dashboard'!$G$16:$G$20</c:f>
              <c:strCache>
                <c:ptCount val="5"/>
                <c:pt idx="0">
                  <c:v>Emergency Fund</c:v>
                </c:pt>
                <c:pt idx="1">
                  <c:v>General Savings</c:v>
                </c:pt>
                <c:pt idx="2">
                  <c:v>Travel Fund</c:v>
                </c:pt>
                <c:pt idx="3">
                  <c:v>Investment Fund</c:v>
                </c:pt>
                <c:pt idx="4">
                  <c:v>Other</c:v>
                </c:pt>
              </c:strCache>
            </c:strRef>
          </c:cat>
          <c:val>
            <c:numRef>
              <c:f>'Savings Dashboard'!$H$16:$H$20</c:f>
              <c:numCache>
                <c:formatCode>\₱#,##0.00</c:formatCode>
                <c:ptCount val="5"/>
                <c:pt idx="0">
                  <c:v>144000</c:v>
                </c:pt>
                <c:pt idx="1">
                  <c:v>21800</c:v>
                </c:pt>
                <c:pt idx="2">
                  <c:v>0</c:v>
                </c:pt>
                <c:pt idx="3">
                  <c:v>-6070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5-4C77-B071-B900DF0E9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965200"/>
        <c:axId val="1525200752"/>
      </c:barChart>
      <c:catAx>
        <c:axId val="24965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00752"/>
        <c:crosses val="autoZero"/>
        <c:auto val="1"/>
        <c:lblAlgn val="ctr"/>
        <c:lblOffset val="100"/>
        <c:noMultiLvlLbl val="0"/>
      </c:catAx>
      <c:valAx>
        <c:axId val="152520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₱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6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4</xdr:col>
      <xdr:colOff>0</xdr:colOff>
      <xdr:row>63</xdr:row>
      <xdr:rowOff>0</xdr:rowOff>
    </xdr:to>
    <xdr:graphicFrame macro="">
      <xdr:nvGraphicFramePr>
        <xdr:cNvPr id="5" name="Monthly Expenses Chart">
          <a:extLst>
            <a:ext uri="{FF2B5EF4-FFF2-40B4-BE49-F238E27FC236}">
              <a16:creationId xmlns:a16="http://schemas.microsoft.com/office/drawing/2014/main" id="{38F620BF-E5B0-1D49-4691-3E6DE9C46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10</xdr:col>
      <xdr:colOff>0</xdr:colOff>
      <xdr:row>82</xdr:row>
      <xdr:rowOff>0</xdr:rowOff>
    </xdr:to>
    <xdr:graphicFrame macro="">
      <xdr:nvGraphicFramePr>
        <xdr:cNvPr id="7" name="Daily Expenses Chart">
          <a:extLst>
            <a:ext uri="{FF2B5EF4-FFF2-40B4-BE49-F238E27FC236}">
              <a16:creationId xmlns:a16="http://schemas.microsoft.com/office/drawing/2014/main" id="{D9525869-E087-5AF3-F62F-87017AE4D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46</xdr:row>
      <xdr:rowOff>0</xdr:rowOff>
    </xdr:from>
    <xdr:to>
      <xdr:col>10</xdr:col>
      <xdr:colOff>0</xdr:colOff>
      <xdr:row>63</xdr:row>
      <xdr:rowOff>0</xdr:rowOff>
    </xdr:to>
    <xdr:graphicFrame macro="">
      <xdr:nvGraphicFramePr>
        <xdr:cNvPr id="8" name="Category Subtotals Chart">
          <a:extLst>
            <a:ext uri="{FF2B5EF4-FFF2-40B4-BE49-F238E27FC236}">
              <a16:creationId xmlns:a16="http://schemas.microsoft.com/office/drawing/2014/main" id="{20AEAF91-32E0-CE29-AC8A-4998AD067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5</xdr:col>
      <xdr:colOff>0</xdr:colOff>
      <xdr:row>46</xdr:row>
      <xdr:rowOff>0</xdr:rowOff>
    </xdr:to>
    <xdr:graphicFrame macro="">
      <xdr:nvGraphicFramePr>
        <xdr:cNvPr id="2" name="Savings Trend Chart">
          <a:extLst>
            <a:ext uri="{FF2B5EF4-FFF2-40B4-BE49-F238E27FC236}">
              <a16:creationId xmlns:a16="http://schemas.microsoft.com/office/drawing/2014/main" id="{EDEA8A5F-4224-BF9A-85AE-62F01390F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6" name="Savings by Fund Chart">
          <a:extLst>
            <a:ext uri="{FF2B5EF4-FFF2-40B4-BE49-F238E27FC236}">
              <a16:creationId xmlns:a16="http://schemas.microsoft.com/office/drawing/2014/main" id="{2ED1DCBA-C750-2B91-B1BB-7BE8BC327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8988D2-591E-474B-89DB-613F1F7598DD}" name="ExpensesTable" displayName="ExpensesTable" ref="A4:G104" totalsRowShown="0" headerRowDxfId="27">
  <autoFilter ref="A4:G104" xr:uid="{168988D2-591E-474B-89DB-613F1F7598DD}"/>
  <tableColumns count="7">
    <tableColumn id="1" xr3:uid="{1F382432-F592-4BC2-9148-4519271696AB}" name="Date" dataDxfId="26"/>
    <tableColumn id="2" xr3:uid="{5819BCD1-5578-4D26-B25B-5E2EE80623DC}" name="Bills"/>
    <tableColumn id="3" xr3:uid="{D8A84F37-9D73-4C50-82F1-AFC2523228B8}" name="Amount" dataDxfId="25"/>
    <tableColumn id="4" xr3:uid="{EF4D9ED4-B748-4D84-8604-E847C99FBACB}" name="Category"/>
    <tableColumn id="5" xr3:uid="{34F38729-535A-4628-83BE-11B8D5CD611B}" name="Subcategory"/>
    <tableColumn id="6" xr3:uid="{A7F343AA-7476-4547-9615-C97895D551D5}" name="Month Start" dataDxfId="24">
      <calculatedColumnFormula>IF(ExpensesTable[[#This Row],[Date]]="","",DATE(YEAR(ExpensesTable[[#This Row],[Date]]),MONTH(ExpensesTable[[#This Row],[Date]]),1))</calculatedColumnFormula>
    </tableColumn>
    <tableColumn id="7" xr3:uid="{50B70FD9-A688-4A09-985D-F0CB87618A6A}" name="Day" dataDxfId="23">
      <calculatedColumnFormula>IF(ExpensesTable[[#This Row],[Date]]="","",DAY(ExpensesTable[[#This Row],[Date]]))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613E0-8237-4584-A1F1-2BEB9F389845}" name="August2026Expenses" displayName="August2026Expenses" ref="A4:G40" totalsRowShown="0" headerRowDxfId="22">
  <autoFilter ref="A4:G40" xr:uid="{168988D2-591E-474B-89DB-613F1F7598DD}"/>
  <tableColumns count="7">
    <tableColumn id="1" xr3:uid="{0FB2C936-6024-44A3-8BA5-85F018A305DE}" name="Date" dataDxfId="21"/>
    <tableColumn id="2" xr3:uid="{A66C3CA6-459D-4FCB-BC58-B176902AC5A1}" name="Bills"/>
    <tableColumn id="3" xr3:uid="{8031076A-14C5-4761-A30B-7A282B25203B}" name="Amount" dataDxfId="20"/>
    <tableColumn id="4" xr3:uid="{A3C0FD2F-1B69-4CDF-9761-280CD67E1CCD}" name="Category"/>
    <tableColumn id="5" xr3:uid="{F86C8666-E955-4F95-978A-115F2CDD8E1B}" name="Subcategory"/>
    <tableColumn id="6" xr3:uid="{4E25B6F5-7373-4C18-AD90-4BD4FAD1A635}" name="Month Start" dataDxfId="19">
      <calculatedColumnFormula>IF(August2026Expenses[[#This Row],[Date]]="","",DATE(YEAR(August2026Expenses[[#This Row],[Date]]),MONTH(August2026Expenses[[#This Row],[Date]]),1))</calculatedColumnFormula>
    </tableColumn>
    <tableColumn id="7" xr3:uid="{4C07ECEF-2347-4DD8-96B4-ECD05EF14066}" name="Day" dataDxfId="18">
      <calculatedColumnFormula>IF(August2026Expenses[[#This Row],[Date]]="","",DAY(August2026Expenses[[#This Row],[Date]]))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BC1B33-B282-4A74-9847-AD9078DB9831}" name="SavingsTable" displayName="SavingsTable" ref="A4:H104" totalsRowShown="0" headerRowDxfId="17" dataDxfId="15" headerRowBorderDxfId="16" tableBorderDxfId="14" totalsRowBorderDxfId="13">
  <autoFilter ref="A4:H104" xr:uid="{E9BC1B33-B282-4A74-9847-AD9078DB9831}"/>
  <tableColumns count="8">
    <tableColumn id="1" xr3:uid="{BD6B772D-70FA-4E37-8E01-DFFD7159C19D}" name="Date" dataDxfId="12"/>
    <tableColumn id="2" xr3:uid="{EC45C343-46BA-45BC-9596-B2D342DBD0A1}" name="Fund" dataDxfId="11"/>
    <tableColumn id="3" xr3:uid="{CBFA860B-2A72-4613-8728-11E3FB23C0E6}" name="Transaction Type" dataDxfId="10"/>
    <tableColumn id="4" xr3:uid="{BE12A427-70F8-4995-A64A-F95560BE31EF}" name="Amount" dataDxfId="9"/>
    <tableColumn id="5" xr3:uid="{2173A6A0-EF78-4FEF-B6D0-123C6639040B}" name="Account" dataDxfId="8"/>
    <tableColumn id="6" xr3:uid="{5DD37898-E2E6-4FC6-800D-977433AAB69F}" name="Notes" dataDxfId="7"/>
    <tableColumn id="7" xr3:uid="{E404C5DC-99DA-4065-8A8C-819970F6398F}" name="Month Start" dataDxfId="6">
      <calculatedColumnFormula>IF(SavingsTable[[#This Row],[Date]]="","",DATE(YEAR(SavingsTable[[#This Row],[Date]]),MONTH(SavingsTable[[#This Row],[Date]]),1))</calculatedColumnFormula>
    </tableColumn>
    <tableColumn id="8" xr3:uid="{1DECA2C1-6F31-4C84-A81C-B550DADCECC0}" name="Signed Amount" dataDxfId="5">
      <calculatedColumnFormula>IF(SavingsTable[[#This Row],[Amount]]="","",IF(SavingsTable[[#This Row],[Transaction Type]]="Withdrawal",-SavingsTable[[#This Row],[Amount]],SavingsTable[[#This Row],[Amount]]))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32FD1E-7840-47B8-99A2-F90619D28041}" name="FarmManagerSalary" displayName="FarmManagerSalary" ref="A7:D8" totalsRowShown="0" headerRowDxfId="4">
  <autoFilter ref="A7:D8" xr:uid="{A632FD1E-7840-47B8-99A2-F90619D28041}"/>
  <tableColumns count="4">
    <tableColumn id="1" xr3:uid="{787206B5-C907-426B-B149-DD92A4EB799F}" name="Payment Date" dataDxfId="3"/>
    <tableColumn id="2" xr3:uid="{62DFADB8-D68C-4178-A4AA-48EC836D4EE6}" name="Compensation Type" dataDxfId="2"/>
    <tableColumn id="3" xr3:uid="{D6608F49-1140-4398-BD86-00207D1F588F}" name="Amount" dataDxfId="1"/>
    <tableColumn id="4" xr3:uid="{5E4122EB-ABD5-40A7-9D39-38EBDBD4DB5B}" name="Pay Peri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B4C0-18EB-41FF-BE77-BAD755346A0E}">
  <dimension ref="A1:H30"/>
  <sheetViews>
    <sheetView showGridLines="0" workbookViewId="0">
      <selection activeCell="A10" sqref="A10:B10"/>
    </sheetView>
  </sheetViews>
  <sheetFormatPr defaultRowHeight="15" x14ac:dyDescent="0.25"/>
  <cols>
    <col min="1" max="1" width="38.140625" customWidth="1"/>
    <col min="2" max="2" width="66.7109375" customWidth="1"/>
  </cols>
  <sheetData>
    <row r="1" spans="1:8" ht="26.25" x14ac:dyDescent="0.4">
      <c r="A1" s="193" t="s">
        <v>66</v>
      </c>
      <c r="B1" s="194"/>
      <c r="C1" s="194"/>
      <c r="D1" s="194"/>
      <c r="E1" s="194"/>
      <c r="F1" s="194"/>
      <c r="G1" s="194"/>
      <c r="H1" s="194"/>
    </row>
    <row r="2" spans="1:8" x14ac:dyDescent="0.25">
      <c r="A2" s="195" t="s">
        <v>67</v>
      </c>
      <c r="B2" s="194"/>
      <c r="C2" s="194"/>
      <c r="D2" s="194"/>
      <c r="E2" s="194"/>
      <c r="F2" s="194"/>
      <c r="G2" s="194"/>
      <c r="H2" s="194"/>
    </row>
    <row r="3" spans="1:8" x14ac:dyDescent="0.25">
      <c r="A3" s="13"/>
      <c r="B3" s="13"/>
      <c r="C3" s="13"/>
      <c r="D3" s="13"/>
      <c r="E3" s="13"/>
      <c r="F3" s="13"/>
      <c r="G3" s="13"/>
      <c r="H3" s="13"/>
    </row>
    <row r="4" spans="1:8" x14ac:dyDescent="0.25">
      <c r="A4" s="23" t="s">
        <v>68</v>
      </c>
      <c r="B4" s="23" t="s">
        <v>69</v>
      </c>
      <c r="C4" s="13"/>
      <c r="D4" s="13"/>
      <c r="E4" s="13"/>
      <c r="F4" s="13"/>
      <c r="G4" s="13"/>
      <c r="H4" s="13"/>
    </row>
    <row r="5" spans="1:8" x14ac:dyDescent="0.25">
      <c r="A5" s="80" t="s">
        <v>70</v>
      </c>
      <c r="B5" s="13" t="s">
        <v>71</v>
      </c>
      <c r="C5" s="13"/>
      <c r="D5" s="13"/>
      <c r="E5" s="13"/>
      <c r="F5" s="13"/>
      <c r="G5" s="13"/>
      <c r="H5" s="13"/>
    </row>
    <row r="6" spans="1:8" x14ac:dyDescent="0.25">
      <c r="A6" s="80" t="s">
        <v>72</v>
      </c>
      <c r="B6" s="13" t="s">
        <v>73</v>
      </c>
      <c r="C6" s="13"/>
      <c r="D6" s="13"/>
      <c r="E6" s="13"/>
      <c r="F6" s="13"/>
      <c r="G6" s="13"/>
      <c r="H6" s="13"/>
    </row>
    <row r="7" spans="1:8" x14ac:dyDescent="0.25">
      <c r="A7" s="80" t="s">
        <v>74</v>
      </c>
      <c r="B7" s="13" t="s">
        <v>75</v>
      </c>
      <c r="C7" s="13"/>
      <c r="D7" s="13"/>
      <c r="E7" s="13"/>
      <c r="F7" s="13"/>
      <c r="G7" s="13"/>
      <c r="H7" s="13"/>
    </row>
    <row r="8" spans="1:8" x14ac:dyDescent="0.25">
      <c r="A8" s="80" t="s">
        <v>76</v>
      </c>
      <c r="B8" s="13" t="s">
        <v>77</v>
      </c>
      <c r="C8" s="13"/>
      <c r="D8" s="13"/>
      <c r="E8" s="13"/>
      <c r="F8" s="13"/>
      <c r="G8" s="13"/>
      <c r="H8" s="13"/>
    </row>
    <row r="9" spans="1:8" x14ac:dyDescent="0.25">
      <c r="A9" s="80" t="s">
        <v>185</v>
      </c>
      <c r="B9" s="24" t="s">
        <v>186</v>
      </c>
      <c r="C9" s="13"/>
      <c r="D9" s="13"/>
      <c r="E9" s="13"/>
      <c r="F9" s="13"/>
      <c r="G9" s="13"/>
      <c r="H9" s="13"/>
    </row>
    <row r="10" spans="1:8" x14ac:dyDescent="0.25">
      <c r="A10" s="80" t="s">
        <v>248</v>
      </c>
      <c r="B10" s="13" t="s">
        <v>249</v>
      </c>
      <c r="C10" s="13"/>
      <c r="D10" s="13"/>
      <c r="E10" s="13"/>
      <c r="F10" s="13"/>
      <c r="G10" s="13"/>
      <c r="H10" s="13"/>
    </row>
    <row r="11" spans="1:8" x14ac:dyDescent="0.25">
      <c r="A11" s="80" t="s">
        <v>287</v>
      </c>
      <c r="B11" s="13" t="s">
        <v>288</v>
      </c>
      <c r="C11" s="13"/>
      <c r="D11" s="13"/>
      <c r="E11" s="13"/>
      <c r="F11" s="13"/>
      <c r="G11" s="13"/>
      <c r="H11" s="13"/>
    </row>
    <row r="12" spans="1:8" x14ac:dyDescent="0.25">
      <c r="A12" s="80" t="s">
        <v>296</v>
      </c>
      <c r="B12" s="13" t="s">
        <v>366</v>
      </c>
      <c r="C12" s="13"/>
      <c r="D12" s="13"/>
      <c r="E12" s="13"/>
      <c r="F12" s="13"/>
      <c r="G12" s="13"/>
      <c r="H12" s="13"/>
    </row>
    <row r="13" spans="1:8" x14ac:dyDescent="0.25">
      <c r="A13" s="183" t="s">
        <v>393</v>
      </c>
      <c r="B13" s="184" t="s">
        <v>394</v>
      </c>
      <c r="C13" s="13"/>
      <c r="D13" s="13"/>
      <c r="E13" s="13"/>
      <c r="F13" s="13"/>
      <c r="G13" s="13"/>
      <c r="H13" s="13"/>
    </row>
    <row r="14" spans="1:8" x14ac:dyDescent="0.25">
      <c r="A14" s="13"/>
      <c r="B14" s="13"/>
      <c r="C14" s="13"/>
      <c r="D14" s="13"/>
      <c r="E14" s="13"/>
      <c r="F14" s="13"/>
      <c r="G14" s="13"/>
      <c r="H14" s="13"/>
    </row>
    <row r="15" spans="1:8" x14ac:dyDescent="0.25">
      <c r="A15" s="13"/>
      <c r="B15" s="13"/>
      <c r="C15" s="13"/>
      <c r="D15" s="13"/>
      <c r="E15" s="13"/>
      <c r="F15" s="13"/>
      <c r="G15" s="13"/>
      <c r="H15" s="13"/>
    </row>
    <row r="16" spans="1:8" x14ac:dyDescent="0.25">
      <c r="A16" s="13"/>
      <c r="B16" s="13"/>
      <c r="C16" s="13"/>
      <c r="D16" s="13"/>
      <c r="E16" s="13"/>
      <c r="F16" s="13"/>
      <c r="G16" s="13"/>
      <c r="H16" s="13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x14ac:dyDescent="0.25">
      <c r="A18" s="13"/>
      <c r="B18" s="13"/>
      <c r="C18" s="13"/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4" spans="1:8" x14ac:dyDescent="0.25">
      <c r="A24" s="13"/>
      <c r="B24" s="13"/>
      <c r="C24" s="13"/>
      <c r="D24" s="13"/>
      <c r="E24" s="13"/>
      <c r="F24" s="13"/>
      <c r="G24" s="13"/>
      <c r="H24" s="13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  <row r="26" spans="1:8" x14ac:dyDescent="0.25">
      <c r="A26" s="13"/>
      <c r="B26" s="13"/>
      <c r="C26" s="13"/>
      <c r="D26" s="13"/>
      <c r="E26" s="13"/>
      <c r="F26" s="13"/>
      <c r="G26" s="13"/>
      <c r="H26" s="13"/>
    </row>
    <row r="27" spans="1:8" x14ac:dyDescent="0.25">
      <c r="A27" s="13"/>
      <c r="B27" s="13"/>
      <c r="C27" s="13"/>
      <c r="D27" s="13"/>
      <c r="E27" s="13"/>
      <c r="F27" s="13"/>
      <c r="G27" s="13"/>
      <c r="H27" s="13"/>
    </row>
    <row r="28" spans="1:8" x14ac:dyDescent="0.25">
      <c r="A28" s="13"/>
      <c r="B28" s="13"/>
      <c r="C28" s="13"/>
      <c r="D28" s="13"/>
      <c r="E28" s="13"/>
      <c r="F28" s="13"/>
      <c r="G28" s="13"/>
      <c r="H28" s="13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3"/>
      <c r="B30" s="13"/>
      <c r="C30" s="13"/>
      <c r="D30" s="13"/>
      <c r="E30" s="13"/>
      <c r="F30" s="13"/>
      <c r="G30" s="13"/>
      <c r="H30" s="13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FF82-F68A-4081-AB0A-24C5259EBBF6}">
  <dimension ref="A1:O125"/>
  <sheetViews>
    <sheetView showGridLines="0" topLeftCell="F1" zoomScaleNormal="100" workbookViewId="0">
      <selection activeCell="N44" sqref="N44"/>
    </sheetView>
  </sheetViews>
  <sheetFormatPr defaultRowHeight="15" x14ac:dyDescent="0.25"/>
  <cols>
    <col min="1" max="1" width="14.5703125" style="16" bestFit="1" customWidth="1"/>
    <col min="2" max="2" width="8.85546875" style="15" bestFit="1" customWidth="1"/>
    <col min="3" max="3" width="17.28515625" style="15" bestFit="1" customWidth="1"/>
    <col min="4" max="4" width="3.42578125" customWidth="1"/>
    <col min="5" max="5" width="18.7109375" style="16" bestFit="1" customWidth="1"/>
    <col min="6" max="6" width="9.28515625" style="15" bestFit="1" customWidth="1"/>
    <col min="7" max="7" width="17.28515625" style="15" bestFit="1" customWidth="1"/>
    <col min="8" max="8" width="3.42578125" customWidth="1"/>
    <col min="9" max="9" width="13.7109375" style="17" bestFit="1" customWidth="1"/>
    <col min="10" max="10" width="8.28515625" style="15" bestFit="1" customWidth="1"/>
    <col min="11" max="11" width="3.42578125" customWidth="1"/>
    <col min="12" max="12" width="13.42578125" bestFit="1" customWidth="1"/>
    <col min="13" max="13" width="9.28515625" bestFit="1" customWidth="1"/>
    <col min="14" max="14" width="12" bestFit="1" customWidth="1"/>
    <col min="15" max="15" width="3.42578125" customWidth="1"/>
  </cols>
  <sheetData>
    <row r="1" spans="1:15" ht="33.950000000000003" customHeight="1" x14ac:dyDescent="0.45">
      <c r="A1" s="197" t="s">
        <v>42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5" x14ac:dyDescent="0.25">
      <c r="A2" s="198" t="s">
        <v>49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</row>
    <row r="3" spans="1:15" ht="15.75" thickBot="1" x14ac:dyDescent="0.3">
      <c r="A3" s="25"/>
      <c r="B3" s="26"/>
      <c r="C3" s="26"/>
      <c r="D3" s="27"/>
      <c r="E3" s="25"/>
      <c r="F3" s="26"/>
      <c r="G3" s="26"/>
      <c r="H3" s="27"/>
      <c r="I3" s="28"/>
      <c r="J3" s="26"/>
      <c r="K3" s="29"/>
      <c r="L3" s="29"/>
      <c r="M3" s="29"/>
      <c r="N3" s="29"/>
      <c r="O3" s="29"/>
    </row>
    <row r="4" spans="1:15" ht="15.75" thickTop="1" x14ac:dyDescent="0.25">
      <c r="A4" s="30" t="s">
        <v>50</v>
      </c>
      <c r="B4" s="31"/>
      <c r="C4" s="32" t="s">
        <v>51</v>
      </c>
      <c r="D4" s="33"/>
      <c r="E4" s="30" t="s">
        <v>52</v>
      </c>
      <c r="F4" s="31"/>
      <c r="G4" s="32" t="s">
        <v>53</v>
      </c>
      <c r="H4" s="33"/>
      <c r="I4" s="34" t="s">
        <v>54</v>
      </c>
      <c r="J4" s="35"/>
      <c r="K4" s="29"/>
      <c r="L4" s="29"/>
      <c r="M4" s="29"/>
      <c r="N4" s="29"/>
      <c r="O4" s="29"/>
    </row>
    <row r="5" spans="1:15" ht="22.5" x14ac:dyDescent="0.35">
      <c r="A5" s="36">
        <v>46235</v>
      </c>
      <c r="B5" s="37"/>
      <c r="C5" s="38">
        <f>SUMIFS(ExpensesTable[Amount],ExpensesTable[Month Start],A5)+SUMIFS(August2026Expenses[Amount],August2026Expenses[Month Start],A5)</f>
        <v>95959</v>
      </c>
      <c r="D5" s="39"/>
      <c r="E5" s="40">
        <v>176500</v>
      </c>
      <c r="F5" s="41"/>
      <c r="G5" s="192">
        <f>E5-C5</f>
        <v>80541</v>
      </c>
      <c r="H5" s="42"/>
      <c r="I5" s="43" t="str">
        <f>IF(C5=0,"No expenses",INDEX(E14:E23,MATCH(MAX(F14:F23),F14:F23,0)))</f>
        <v>Personal</v>
      </c>
      <c r="J5" s="44"/>
      <c r="K5" s="29"/>
      <c r="L5" s="29"/>
      <c r="M5" s="29"/>
      <c r="N5" s="29"/>
      <c r="O5" s="29"/>
    </row>
    <row r="6" spans="1:15" x14ac:dyDescent="0.25">
      <c r="A6" s="45"/>
      <c r="B6" s="26"/>
      <c r="C6" s="46"/>
      <c r="D6" s="27"/>
      <c r="E6" s="45"/>
      <c r="F6" s="26"/>
      <c r="G6" s="46"/>
      <c r="H6" s="27"/>
      <c r="I6" s="47"/>
      <c r="J6" s="44"/>
      <c r="K6" s="29"/>
      <c r="L6" s="29"/>
      <c r="M6" s="29"/>
      <c r="N6" s="29"/>
      <c r="O6" s="29"/>
    </row>
    <row r="7" spans="1:15" x14ac:dyDescent="0.25">
      <c r="A7" s="45"/>
      <c r="B7" s="26"/>
      <c r="C7" s="46"/>
      <c r="D7" s="27"/>
      <c r="E7" s="45"/>
      <c r="F7" s="26"/>
      <c r="G7" s="46"/>
      <c r="H7" s="27"/>
      <c r="I7" s="47"/>
      <c r="J7" s="44"/>
      <c r="K7" s="29"/>
      <c r="L7" s="29"/>
      <c r="M7" s="29"/>
      <c r="N7" s="29"/>
      <c r="O7" s="29"/>
    </row>
    <row r="8" spans="1:15" x14ac:dyDescent="0.25">
      <c r="A8" s="48"/>
      <c r="B8" s="49"/>
      <c r="C8" s="50"/>
      <c r="D8" s="51"/>
      <c r="E8" s="48"/>
      <c r="F8" s="49"/>
      <c r="G8" s="50"/>
      <c r="H8" s="51"/>
      <c r="I8" s="52"/>
      <c r="J8" s="53"/>
      <c r="K8" s="29"/>
      <c r="L8" s="29"/>
      <c r="M8" s="29"/>
      <c r="N8" s="29"/>
      <c r="O8" s="29"/>
    </row>
    <row r="9" spans="1:15" x14ac:dyDescent="0.25">
      <c r="A9" s="200" t="s">
        <v>289</v>
      </c>
      <c r="B9" s="201"/>
      <c r="C9" s="201"/>
      <c r="D9" s="201"/>
      <c r="E9" s="201"/>
      <c r="F9" s="201"/>
      <c r="G9" s="201"/>
      <c r="H9" s="201"/>
      <c r="I9" s="201"/>
      <c r="J9" s="201"/>
      <c r="K9" s="29"/>
      <c r="L9" s="29"/>
      <c r="M9" s="29"/>
      <c r="N9" s="29"/>
      <c r="O9" s="29"/>
    </row>
    <row r="10" spans="1:15" x14ac:dyDescent="0.25">
      <c r="A10" s="25"/>
      <c r="B10" s="26"/>
      <c r="C10" s="26"/>
      <c r="D10" s="27"/>
      <c r="E10" s="25"/>
      <c r="F10" s="26"/>
      <c r="G10" s="26"/>
      <c r="H10" s="27"/>
      <c r="I10" s="28"/>
      <c r="J10" s="26"/>
      <c r="K10" s="29"/>
      <c r="L10" s="29"/>
      <c r="M10" s="29"/>
      <c r="N10" s="29"/>
      <c r="O10" s="29"/>
    </row>
    <row r="11" spans="1:15" x14ac:dyDescent="0.25">
      <c r="A11" s="25"/>
      <c r="B11" s="26"/>
      <c r="C11" s="26"/>
      <c r="D11" s="27"/>
      <c r="E11" s="25"/>
      <c r="F11" s="26"/>
      <c r="G11" s="26"/>
      <c r="H11" s="27"/>
      <c r="I11" s="28"/>
      <c r="J11" s="26"/>
      <c r="K11" s="29"/>
      <c r="L11" s="29"/>
      <c r="M11" s="29"/>
      <c r="N11" s="29"/>
      <c r="O11" s="29"/>
    </row>
    <row r="12" spans="1:15" x14ac:dyDescent="0.25">
      <c r="A12" s="199" t="s">
        <v>43</v>
      </c>
      <c r="B12" s="199"/>
      <c r="C12" s="199"/>
      <c r="D12" s="27"/>
      <c r="E12" s="199" t="s">
        <v>45</v>
      </c>
      <c r="F12" s="199"/>
      <c r="G12" s="199"/>
      <c r="H12" s="27"/>
      <c r="I12" s="199" t="s">
        <v>46</v>
      </c>
      <c r="J12" s="199"/>
      <c r="K12" s="29"/>
      <c r="L12" s="196" t="s">
        <v>65</v>
      </c>
      <c r="M12" s="196"/>
      <c r="N12" s="196"/>
      <c r="O12" s="29"/>
    </row>
    <row r="13" spans="1:15" x14ac:dyDescent="0.25">
      <c r="A13" s="54" t="s">
        <v>6</v>
      </c>
      <c r="B13" s="55" t="s">
        <v>44</v>
      </c>
      <c r="C13" s="55" t="s">
        <v>55</v>
      </c>
      <c r="D13" s="27"/>
      <c r="E13" s="54" t="s">
        <v>4</v>
      </c>
      <c r="F13" s="55" t="s">
        <v>44</v>
      </c>
      <c r="G13" s="55" t="s">
        <v>56</v>
      </c>
      <c r="H13" s="27"/>
      <c r="I13" s="54" t="s">
        <v>7</v>
      </c>
      <c r="J13" s="55" t="s">
        <v>44</v>
      </c>
      <c r="K13" s="29"/>
      <c r="L13" s="143" t="s">
        <v>5</v>
      </c>
      <c r="M13" s="143" t="s">
        <v>44</v>
      </c>
      <c r="N13" s="143" t="s">
        <v>56</v>
      </c>
      <c r="O13" s="29"/>
    </row>
    <row r="14" spans="1:15" x14ac:dyDescent="0.25">
      <c r="A14" s="56">
        <v>46023</v>
      </c>
      <c r="B14" s="57">
        <f>SUMIFS(ExpensesTable[Amount],ExpensesTable[Month Start],A14)+SUMIFS(August2026Expenses[Amount],August2026Expenses[Month Start],A14)</f>
        <v>0</v>
      </c>
      <c r="C14" s="58">
        <f t="shared" ref="C14:C25" si="0">IF($C$5=0,0,B14/$C$5)</f>
        <v>0</v>
      </c>
      <c r="D14" s="27"/>
      <c r="E14" s="59" t="s">
        <v>11</v>
      </c>
      <c r="F14" s="57">
        <f>SUMIFS(ExpensesTable[Amount],ExpensesTable[Category],E14,ExpensesTable[Month Start],$A$5)+SUMIFS(August2026Expenses[Amount],August2026Expenses[Category],E14,August2026Expenses[Month Start],$A$5)</f>
        <v>4013</v>
      </c>
      <c r="G14" s="58">
        <f t="shared" ref="G14:G23" si="1">IF($C$5=0,0,F14/$C$5)</f>
        <v>4.1819943934388648E-2</v>
      </c>
      <c r="H14" s="27"/>
      <c r="I14" s="60">
        <v>1</v>
      </c>
      <c r="J14" s="57">
        <f>SUMIFS(ExpensesTable[Amount],ExpensesTable[Month Start],$A$5,ExpensesTable[Day],I14)+SUMIFS(August2026Expenses[Amount],August2026Expenses[Month Start],$A$5,August2026Expenses[Day],I14)</f>
        <v>6000</v>
      </c>
      <c r="K14" s="29"/>
      <c r="L14" s="61" t="s">
        <v>10</v>
      </c>
      <c r="M14" s="62">
        <f>SUMIFS(ExpensesTable[Amount],ExpensesTable[Subcategory],L14,ExpensesTable[Month Start],$A$5)+SUMIFS(August2026Expenses[Amount],August2026Expenses[Subcategory],L14,August2026Expenses[Month Start],$A$5)</f>
        <v>5917</v>
      </c>
      <c r="N14" s="63">
        <f t="shared" ref="N14:N40" si="2">IF($C$5=0,0,M14/$C$5)</f>
        <v>6.1661751372982208E-2</v>
      </c>
      <c r="O14" s="29"/>
    </row>
    <row r="15" spans="1:15" x14ac:dyDescent="0.25">
      <c r="A15" s="64">
        <v>46054</v>
      </c>
      <c r="B15" s="65">
        <f>SUMIFS(ExpensesTable[Amount],ExpensesTable[Month Start],A15)+SUMIFS(August2026Expenses[Amount],August2026Expenses[Month Start],A15)</f>
        <v>0</v>
      </c>
      <c r="C15" s="66">
        <f t="shared" si="0"/>
        <v>0</v>
      </c>
      <c r="D15" s="27"/>
      <c r="E15" s="67" t="s">
        <v>12</v>
      </c>
      <c r="F15" s="65">
        <f>SUMIFS(ExpensesTable[Amount],ExpensesTable[Category],E15,ExpensesTable[Month Start],$A$5)+SUMIFS(August2026Expenses[Amount],August2026Expenses[Category],E15,August2026Expenses[Month Start],$A$5)</f>
        <v>12814</v>
      </c>
      <c r="G15" s="66">
        <f t="shared" si="1"/>
        <v>0.13353619775112288</v>
      </c>
      <c r="H15" s="27"/>
      <c r="I15" s="68">
        <v>2</v>
      </c>
      <c r="J15" s="65">
        <f>SUMIFS(ExpensesTable[Amount],ExpensesTable[Month Start],$A$5,ExpensesTable[Day],I15)+SUMIFS(August2026Expenses[Amount],August2026Expenses[Month Start],$A$5,August2026Expenses[Day],I15)</f>
        <v>754</v>
      </c>
      <c r="K15" s="29"/>
      <c r="L15" s="67" t="s">
        <v>17</v>
      </c>
      <c r="M15" s="65">
        <f>SUMIFS(ExpensesTable[Amount],ExpensesTable[Subcategory],L15,ExpensesTable[Month Start],$A$5)+SUMIFS(August2026Expenses[Amount],August2026Expenses[Subcategory],L15,August2026Expenses[Month Start],$A$5)</f>
        <v>5889</v>
      </c>
      <c r="N15" s="66">
        <f t="shared" si="2"/>
        <v>6.1369960087120541E-2</v>
      </c>
      <c r="O15" s="29"/>
    </row>
    <row r="16" spans="1:15" x14ac:dyDescent="0.25">
      <c r="A16" s="64">
        <v>46082</v>
      </c>
      <c r="B16" s="65">
        <f>SUMIFS(ExpensesTable[Amount],ExpensesTable[Month Start],A16)+SUMIFS(August2026Expenses[Amount],August2026Expenses[Month Start],A16)</f>
        <v>0</v>
      </c>
      <c r="C16" s="66">
        <f t="shared" si="0"/>
        <v>0</v>
      </c>
      <c r="D16" s="27"/>
      <c r="E16" s="67" t="s">
        <v>9</v>
      </c>
      <c r="F16" s="65">
        <f>SUMIFS(ExpensesTable[Amount],ExpensesTable[Category],E16,ExpensesTable[Month Start],$A$5)+SUMIFS(August2026Expenses[Amount],August2026Expenses[Category],E16,August2026Expenses[Month Start],$A$5)</f>
        <v>7519</v>
      </c>
      <c r="G16" s="66">
        <f t="shared" si="1"/>
        <v>7.8356381371210621E-2</v>
      </c>
      <c r="H16" s="27"/>
      <c r="I16" s="68">
        <v>3</v>
      </c>
      <c r="J16" s="65">
        <f>SUMIFS(ExpensesTable[Amount],ExpensesTable[Month Start],$A$5,ExpensesTable[Day],I16)+SUMIFS(August2026Expenses[Amount],August2026Expenses[Month Start],$A$5,August2026Expenses[Day],I16)</f>
        <v>9390</v>
      </c>
      <c r="K16" s="29"/>
      <c r="L16" s="69" t="s">
        <v>29</v>
      </c>
      <c r="M16" s="70">
        <f>SUMIFS(ExpensesTable[Amount],ExpensesTable[Subcategory],L16,ExpensesTable[Month Start],$A$5)+SUMIFS(August2026Expenses[Amount],August2026Expenses[Subcategory],L16,August2026Expenses[Month Start],$A$5)</f>
        <v>375</v>
      </c>
      <c r="N16" s="71">
        <f t="shared" si="2"/>
        <v>3.9079190070759389E-3</v>
      </c>
      <c r="O16" s="29"/>
    </row>
    <row r="17" spans="1:15" x14ac:dyDescent="0.25">
      <c r="A17" s="64">
        <v>46113</v>
      </c>
      <c r="B17" s="65">
        <f>SUMIFS(ExpensesTable[Amount],ExpensesTable[Month Start],A17)+SUMIFS(August2026Expenses[Amount],August2026Expenses[Month Start],A17)</f>
        <v>0</v>
      </c>
      <c r="C17" s="66">
        <f t="shared" si="0"/>
        <v>0</v>
      </c>
      <c r="D17" s="27"/>
      <c r="E17" s="67" t="s">
        <v>16</v>
      </c>
      <c r="F17" s="65">
        <f>SUMIFS(ExpensesTable[Amount],ExpensesTable[Category],E17,ExpensesTable[Month Start],$A$5)+SUMIFS(August2026Expenses[Amount],August2026Expenses[Category],E17,August2026Expenses[Month Start],$A$5)</f>
        <v>24754</v>
      </c>
      <c r="G17" s="66">
        <f t="shared" si="1"/>
        <v>0.25796433893642079</v>
      </c>
      <c r="H17" s="27"/>
      <c r="I17" s="68">
        <v>4</v>
      </c>
      <c r="J17" s="65">
        <f>SUMIFS(ExpensesTable[Amount],ExpensesTable[Month Start],$A$5,ExpensesTable[Day],I17)+SUMIFS(August2026Expenses[Amount],August2026Expenses[Month Start],$A$5,August2026Expenses[Day],I17)</f>
        <v>100</v>
      </c>
      <c r="K17" s="29"/>
      <c r="L17" s="67" t="s">
        <v>30</v>
      </c>
      <c r="M17" s="65">
        <f>SUMIFS(ExpensesTable[Amount],ExpensesTable[Subcategory],L17,ExpensesTable[Month Start],$A$5)+SUMIFS(August2026Expenses[Amount],August2026Expenses[Subcategory],L17,August2026Expenses[Month Start],$A$5)</f>
        <v>0</v>
      </c>
      <c r="N17" s="66">
        <f t="shared" si="2"/>
        <v>0</v>
      </c>
      <c r="O17" s="29"/>
    </row>
    <row r="18" spans="1:15" x14ac:dyDescent="0.25">
      <c r="A18" s="64">
        <v>46143</v>
      </c>
      <c r="B18" s="65">
        <f>SUMIFS(ExpensesTable[Amount],ExpensesTable[Month Start],A18)+SUMIFS(August2026Expenses[Amount],August2026Expenses[Month Start],A18)</f>
        <v>0</v>
      </c>
      <c r="C18" s="66">
        <f t="shared" si="0"/>
        <v>0</v>
      </c>
      <c r="D18" s="27"/>
      <c r="E18" s="67" t="s">
        <v>19</v>
      </c>
      <c r="F18" s="65">
        <f>SUMIFS(ExpensesTable[Amount],ExpensesTable[Category],E18,ExpensesTable[Month Start],$A$5)+SUMIFS(August2026Expenses[Amount],August2026Expenses[Category],E18,August2026Expenses[Month Start],$A$5)</f>
        <v>0</v>
      </c>
      <c r="G18" s="66">
        <f t="shared" si="1"/>
        <v>0</v>
      </c>
      <c r="H18" s="27"/>
      <c r="I18" s="68">
        <v>5</v>
      </c>
      <c r="J18" s="65">
        <f>SUMIFS(ExpensesTable[Amount],ExpensesTable[Month Start],$A$5,ExpensesTable[Day],I18)+SUMIFS(August2026Expenses[Amount],August2026Expenses[Month Start],$A$5,August2026Expenses[Day],I18)</f>
        <v>407</v>
      </c>
      <c r="K18" s="29"/>
      <c r="L18" s="69" t="s">
        <v>13</v>
      </c>
      <c r="M18" s="70">
        <f>SUMIFS(ExpensesTable[Amount],ExpensesTable[Subcategory],L18,ExpensesTable[Month Start],$A$5)+SUMIFS(August2026Expenses[Amount],August2026Expenses[Subcategory],L18,August2026Expenses[Month Start],$A$5)</f>
        <v>1102</v>
      </c>
      <c r="N18" s="71">
        <f t="shared" si="2"/>
        <v>1.1484071322127158E-2</v>
      </c>
      <c r="O18" s="29"/>
    </row>
    <row r="19" spans="1:15" x14ac:dyDescent="0.25">
      <c r="A19" s="64">
        <v>46174</v>
      </c>
      <c r="B19" s="65">
        <f>SUMIFS(ExpensesTable[Amount],ExpensesTable[Month Start],A19)+SUMIFS(August2026Expenses[Amount],August2026Expenses[Month Start],A19)</f>
        <v>0</v>
      </c>
      <c r="C19" s="66">
        <f t="shared" si="0"/>
        <v>0</v>
      </c>
      <c r="D19" s="27"/>
      <c r="E19" s="67" t="s">
        <v>21</v>
      </c>
      <c r="F19" s="65">
        <f>SUMIFS(ExpensesTable[Amount],ExpensesTable[Category],E19,ExpensesTable[Month Start],$A$5)+SUMIFS(August2026Expenses[Amount],August2026Expenses[Category],E19,August2026Expenses[Month Start],$A$5)</f>
        <v>3396</v>
      </c>
      <c r="G19" s="66">
        <f t="shared" si="1"/>
        <v>3.5390114528079698E-2</v>
      </c>
      <c r="H19" s="27"/>
      <c r="I19" s="68">
        <v>6</v>
      </c>
      <c r="J19" s="65">
        <f>SUMIFS(ExpensesTable[Amount],ExpensesTable[Month Start],$A$5,ExpensesTable[Day],I19)+SUMIFS(August2026Expenses[Amount],August2026Expenses[Month Start],$A$5,August2026Expenses[Day],I19)</f>
        <v>3630</v>
      </c>
      <c r="K19" s="29"/>
      <c r="L19" s="67" t="s">
        <v>31</v>
      </c>
      <c r="M19" s="65">
        <f>SUMIFS(ExpensesTable[Amount],ExpensesTable[Subcategory],L19,ExpensesTable[Month Start],$A$5)+SUMIFS(August2026Expenses[Amount],August2026Expenses[Subcategory],L19,August2026Expenses[Month Start],$A$5)</f>
        <v>5169</v>
      </c>
      <c r="N19" s="66">
        <f t="shared" si="2"/>
        <v>5.3866755593534738E-2</v>
      </c>
      <c r="O19" s="29"/>
    </row>
    <row r="20" spans="1:15" x14ac:dyDescent="0.25">
      <c r="A20" s="64">
        <v>46204</v>
      </c>
      <c r="B20" s="65">
        <f>SUMIFS(ExpensesTable[Amount],ExpensesTable[Month Start],A20)+SUMIFS(August2026Expenses[Amount],August2026Expenses[Month Start],A20)</f>
        <v>0</v>
      </c>
      <c r="C20" s="66">
        <f t="shared" si="0"/>
        <v>0</v>
      </c>
      <c r="D20" s="27"/>
      <c r="E20" s="67" t="s">
        <v>24</v>
      </c>
      <c r="F20" s="65">
        <f>SUMIFS(ExpensesTable[Amount],ExpensesTable[Category],E20,ExpensesTable[Month Start],$A$5)+SUMIFS(August2026Expenses[Amount],August2026Expenses[Category],E20,August2026Expenses[Month Start],$A$5)</f>
        <v>32715</v>
      </c>
      <c r="G20" s="66">
        <f t="shared" si="1"/>
        <v>0.34092685417730489</v>
      </c>
      <c r="H20" s="27"/>
      <c r="I20" s="68">
        <v>7</v>
      </c>
      <c r="J20" s="65">
        <f>SUMIFS(ExpensesTable[Amount],ExpensesTable[Month Start],$A$5,ExpensesTable[Day],I20)+SUMIFS(August2026Expenses[Amount],August2026Expenses[Month Start],$A$5,August2026Expenses[Day],I20)</f>
        <v>500</v>
      </c>
      <c r="K20" s="29"/>
      <c r="L20" s="69" t="s">
        <v>8</v>
      </c>
      <c r="M20" s="70">
        <f>SUMIFS(ExpensesTable[Amount],ExpensesTable[Subcategory],L20,ExpensesTable[Month Start],$A$5)+SUMIFS(August2026Expenses[Amount],August2026Expenses[Subcategory],L20,August2026Expenses[Month Start],$A$5)</f>
        <v>5821</v>
      </c>
      <c r="N20" s="71">
        <f t="shared" si="2"/>
        <v>6.0661324107170768E-2</v>
      </c>
      <c r="O20" s="29"/>
    </row>
    <row r="21" spans="1:15" x14ac:dyDescent="0.25">
      <c r="A21" s="64">
        <v>46235</v>
      </c>
      <c r="B21" s="65">
        <f>SUMIFS(ExpensesTable[Amount],ExpensesTable[Month Start],A21)+SUMIFS(August2026Expenses[Amount],August2026Expenses[Month Start],A21)</f>
        <v>95959</v>
      </c>
      <c r="C21" s="66">
        <f t="shared" si="0"/>
        <v>1</v>
      </c>
      <c r="D21" s="27"/>
      <c r="E21" s="67" t="s">
        <v>26</v>
      </c>
      <c r="F21" s="65">
        <f>SUMIFS(ExpensesTable[Amount],ExpensesTable[Category],E21,ExpensesTable[Month Start],$A$5)+SUMIFS(August2026Expenses[Amount],August2026Expenses[Category],E21,August2026Expenses[Month Start],$A$5)</f>
        <v>0</v>
      </c>
      <c r="G21" s="66">
        <f t="shared" si="1"/>
        <v>0</v>
      </c>
      <c r="H21" s="27"/>
      <c r="I21" s="68">
        <v>8</v>
      </c>
      <c r="J21" s="65">
        <f>SUMIFS(ExpensesTable[Amount],ExpensesTable[Month Start],$A$5,ExpensesTable[Day],I21)+SUMIFS(August2026Expenses[Amount],August2026Expenses[Month Start],$A$5,August2026Expenses[Day],I21)</f>
        <v>1920</v>
      </c>
      <c r="K21" s="29"/>
      <c r="L21" s="67" t="s">
        <v>32</v>
      </c>
      <c r="M21" s="65">
        <f>SUMIFS(ExpensesTable[Amount],ExpensesTable[Subcategory],L21,ExpensesTable[Month Start],$A$5)+SUMIFS(August2026Expenses[Amount],August2026Expenses[Subcategory],L21,August2026Expenses[Month Start],$A$5)</f>
        <v>0</v>
      </c>
      <c r="N21" s="66">
        <f t="shared" si="2"/>
        <v>0</v>
      </c>
      <c r="O21" s="29"/>
    </row>
    <row r="22" spans="1:15" x14ac:dyDescent="0.25">
      <c r="A22" s="64">
        <v>46266</v>
      </c>
      <c r="B22" s="65">
        <f>SUMIFS(ExpensesTable[Amount],ExpensesTable[Month Start],A22)+SUMIFS(August2026Expenses[Amount],August2026Expenses[Month Start],A22)</f>
        <v>0</v>
      </c>
      <c r="C22" s="66">
        <f t="shared" si="0"/>
        <v>0</v>
      </c>
      <c r="D22" s="27"/>
      <c r="E22" s="67" t="s">
        <v>27</v>
      </c>
      <c r="F22" s="65">
        <f>SUMIFS(ExpensesTable[Amount],ExpensesTable[Category],E22,ExpensesTable[Month Start],$A$5)+SUMIFS(August2026Expenses[Amount],August2026Expenses[Category],E22,August2026Expenses[Month Start],$A$5)</f>
        <v>1390</v>
      </c>
      <c r="G22" s="66">
        <f t="shared" si="1"/>
        <v>1.448535311956148E-2</v>
      </c>
      <c r="H22" s="27"/>
      <c r="I22" s="68">
        <v>9</v>
      </c>
      <c r="J22" s="65">
        <f>SUMIFS(ExpensesTable[Amount],ExpensesTable[Month Start],$A$5,ExpensesTable[Day],I22)+SUMIFS(August2026Expenses[Amount],August2026Expenses[Month Start],$A$5,August2026Expenses[Day],I22)</f>
        <v>11337</v>
      </c>
      <c r="K22" s="29"/>
      <c r="L22" s="69" t="s">
        <v>14</v>
      </c>
      <c r="M22" s="70">
        <f>SUMIFS(ExpensesTable[Amount],ExpensesTable[Subcategory],L22,ExpensesTable[Month Start],$A$5)+SUMIFS(August2026Expenses[Amount],August2026Expenses[Subcategory],L22,August2026Expenses[Month Start],$A$5)</f>
        <v>1698</v>
      </c>
      <c r="N22" s="71">
        <f t="shared" si="2"/>
        <v>1.7695057264039849E-2</v>
      </c>
      <c r="O22" s="29"/>
    </row>
    <row r="23" spans="1:15" x14ac:dyDescent="0.25">
      <c r="A23" s="64">
        <v>46296</v>
      </c>
      <c r="B23" s="65">
        <f>SUMIFS(ExpensesTable[Amount],ExpensesTable[Month Start],A23)+SUMIFS(August2026Expenses[Amount],August2026Expenses[Month Start],A23)</f>
        <v>0</v>
      </c>
      <c r="C23" s="66">
        <f t="shared" si="0"/>
        <v>0</v>
      </c>
      <c r="D23" s="27"/>
      <c r="E23" s="72" t="s">
        <v>63</v>
      </c>
      <c r="F23" s="73">
        <f>SUMIFS(ExpensesTable[Amount],ExpensesTable[Category],E23,ExpensesTable[Month Start],$A$5)+SUMIFS(August2026Expenses[Amount],August2026Expenses[Category],E23,August2026Expenses[Month Start],$A$5)</f>
        <v>7558</v>
      </c>
      <c r="G23" s="74">
        <f t="shared" si="1"/>
        <v>7.8762804947946519E-2</v>
      </c>
      <c r="H23" s="27"/>
      <c r="I23" s="68">
        <v>10</v>
      </c>
      <c r="J23" s="65">
        <f>SUMIFS(ExpensesTable[Amount],ExpensesTable[Month Start],$A$5,ExpensesTable[Day],I23)+SUMIFS(August2026Expenses[Amount],August2026Expenses[Month Start],$A$5,August2026Expenses[Day],I23)</f>
        <v>1800</v>
      </c>
      <c r="K23" s="29"/>
      <c r="L23" s="67" t="s">
        <v>20</v>
      </c>
      <c r="M23" s="65">
        <f>SUMIFS(ExpensesTable[Amount],ExpensesTable[Subcategory],L23,ExpensesTable[Month Start],$A$5)+SUMIFS(August2026Expenses[Amount],August2026Expenses[Subcategory],L23,August2026Expenses[Month Start],$A$5)</f>
        <v>0</v>
      </c>
      <c r="N23" s="66">
        <f t="shared" si="2"/>
        <v>0</v>
      </c>
      <c r="O23" s="29"/>
    </row>
    <row r="24" spans="1:15" x14ac:dyDescent="0.25">
      <c r="A24" s="64">
        <v>46327</v>
      </c>
      <c r="B24" s="65">
        <f>SUMIFS(ExpensesTable[Amount],ExpensesTable[Month Start],A24)+SUMIFS(August2026Expenses[Amount],August2026Expenses[Month Start],A24)</f>
        <v>0</v>
      </c>
      <c r="C24" s="66">
        <f t="shared" si="0"/>
        <v>0</v>
      </c>
      <c r="D24" s="27"/>
      <c r="E24" s="25"/>
      <c r="F24" s="26"/>
      <c r="G24" s="26"/>
      <c r="H24" s="27"/>
      <c r="I24" s="68">
        <v>11</v>
      </c>
      <c r="J24" s="65">
        <f>SUMIFS(ExpensesTable[Amount],ExpensesTable[Month Start],$A$5,ExpensesTable[Day],I24)+SUMIFS(August2026Expenses[Amount],August2026Expenses[Month Start],$A$5,August2026Expenses[Day],I24)</f>
        <v>0</v>
      </c>
      <c r="K24" s="29"/>
      <c r="L24" s="69" t="s">
        <v>15</v>
      </c>
      <c r="M24" s="70">
        <f>SUMIFS(ExpensesTable[Amount],ExpensesTable[Subcategory],L24,ExpensesTable[Month Start],$A$5)+SUMIFS(August2026Expenses[Amount],August2026Expenses[Subcategory],L24,August2026Expenses[Month Start],$A$5)</f>
        <v>4500</v>
      </c>
      <c r="N24" s="71">
        <f t="shared" si="2"/>
        <v>4.6895028084911264E-2</v>
      </c>
      <c r="O24" s="29"/>
    </row>
    <row r="25" spans="1:15" x14ac:dyDescent="0.25">
      <c r="A25" s="75">
        <v>46357</v>
      </c>
      <c r="B25" s="73">
        <f>SUMIFS(ExpensesTable[Amount],ExpensesTable[Month Start],A25)+SUMIFS(August2026Expenses[Amount],August2026Expenses[Month Start],A25)</f>
        <v>0</v>
      </c>
      <c r="C25" s="74">
        <f t="shared" si="0"/>
        <v>0</v>
      </c>
      <c r="D25" s="27"/>
      <c r="E25" s="25"/>
      <c r="F25" s="26"/>
      <c r="G25" s="26"/>
      <c r="H25" s="27"/>
      <c r="I25" s="68">
        <v>12</v>
      </c>
      <c r="J25" s="65">
        <f>SUMIFS(ExpensesTable[Amount],ExpensesTable[Month Start],$A$5,ExpensesTable[Day],I25)+SUMIFS(August2026Expenses[Amount],August2026Expenses[Month Start],$A$5,August2026Expenses[Day],I25)</f>
        <v>3797</v>
      </c>
      <c r="K25" s="29"/>
      <c r="L25" s="67" t="s">
        <v>33</v>
      </c>
      <c r="M25" s="65">
        <f>SUMIFS(ExpensesTable[Amount],ExpensesTable[Subcategory],L25,ExpensesTable[Month Start],$A$5)+SUMIFS(August2026Expenses[Amount],August2026Expenses[Subcategory],L25,August2026Expenses[Month Start],$A$5)</f>
        <v>17200</v>
      </c>
      <c r="N25" s="66">
        <f t="shared" si="2"/>
        <v>0.17924321845788305</v>
      </c>
      <c r="O25" s="29"/>
    </row>
    <row r="26" spans="1:15" x14ac:dyDescent="0.25">
      <c r="A26" s="25"/>
      <c r="B26" s="26"/>
      <c r="C26" s="26"/>
      <c r="D26" s="27"/>
      <c r="E26" s="25"/>
      <c r="F26" s="26"/>
      <c r="G26" s="26"/>
      <c r="H26" s="27"/>
      <c r="I26" s="68">
        <v>13</v>
      </c>
      <c r="J26" s="65">
        <f>SUMIFS(ExpensesTable[Amount],ExpensesTable[Month Start],$A$5,ExpensesTable[Day],I26)+SUMIFS(August2026Expenses[Amount],August2026Expenses[Month Start],$A$5,August2026Expenses[Day],I26)</f>
        <v>21600</v>
      </c>
      <c r="K26" s="29"/>
      <c r="L26" s="69" t="s">
        <v>34</v>
      </c>
      <c r="M26" s="70">
        <f>SUMIFS(ExpensesTable[Amount],ExpensesTable[Subcategory],L26,ExpensesTable[Month Start],$A$5)+SUMIFS(August2026Expenses[Amount],August2026Expenses[Subcategory],L26,August2026Expenses[Month Start],$A$5)</f>
        <v>1150</v>
      </c>
      <c r="N26" s="71">
        <f t="shared" si="2"/>
        <v>1.1984284955032879E-2</v>
      </c>
      <c r="O26" s="29"/>
    </row>
    <row r="27" spans="1:15" x14ac:dyDescent="0.25">
      <c r="A27" s="25"/>
      <c r="B27" s="26"/>
      <c r="C27" s="26"/>
      <c r="D27" s="27"/>
      <c r="E27" s="25"/>
      <c r="F27" s="26"/>
      <c r="G27" s="26"/>
      <c r="H27" s="27"/>
      <c r="I27" s="68">
        <v>14</v>
      </c>
      <c r="J27" s="65">
        <f>SUMIFS(ExpensesTable[Amount],ExpensesTable[Month Start],$A$5,ExpensesTable[Day],I27)+SUMIFS(August2026Expenses[Amount],August2026Expenses[Month Start],$A$5,August2026Expenses[Day],I27)</f>
        <v>4441</v>
      </c>
      <c r="K27" s="29"/>
      <c r="L27" s="67" t="s">
        <v>18</v>
      </c>
      <c r="M27" s="65">
        <f>SUMIFS(ExpensesTable[Amount],ExpensesTable[Subcategory],L27,ExpensesTable[Month Start],$A$5)+SUMIFS(August2026Expenses[Amount],August2026Expenses[Subcategory],L27,August2026Expenses[Month Start],$A$5)</f>
        <v>0</v>
      </c>
      <c r="N27" s="66">
        <f t="shared" si="2"/>
        <v>0</v>
      </c>
      <c r="O27" s="29"/>
    </row>
    <row r="28" spans="1:15" x14ac:dyDescent="0.25">
      <c r="A28" s="25"/>
      <c r="B28" s="26"/>
      <c r="C28" s="26"/>
      <c r="D28" s="27"/>
      <c r="E28" s="25"/>
      <c r="F28" s="26"/>
      <c r="G28" s="26"/>
      <c r="H28" s="27"/>
      <c r="I28" s="68">
        <v>15</v>
      </c>
      <c r="J28" s="65">
        <f>SUMIFS(ExpensesTable[Amount],ExpensesTable[Month Start],$A$5,ExpensesTable[Day],I28)+SUMIFS(August2026Expenses[Amount],August2026Expenses[Month Start],$A$5,August2026Expenses[Day],I28)</f>
        <v>0</v>
      </c>
      <c r="K28" s="29"/>
      <c r="L28" s="69" t="s">
        <v>35</v>
      </c>
      <c r="M28" s="70">
        <f>SUMIFS(ExpensesTable[Amount],ExpensesTable[Subcategory],L28,ExpensesTable[Month Start],$A$5)+SUMIFS(August2026Expenses[Amount],August2026Expenses[Subcategory],L28,August2026Expenses[Month Start],$A$5)</f>
        <v>0</v>
      </c>
      <c r="N28" s="71">
        <f t="shared" si="2"/>
        <v>0</v>
      </c>
      <c r="O28" s="29"/>
    </row>
    <row r="29" spans="1:15" x14ac:dyDescent="0.25">
      <c r="A29" s="25"/>
      <c r="B29" s="26"/>
      <c r="C29" s="26"/>
      <c r="D29" s="27"/>
      <c r="E29" s="25"/>
      <c r="F29" s="26"/>
      <c r="G29" s="26"/>
      <c r="H29" s="27"/>
      <c r="I29" s="68">
        <v>16</v>
      </c>
      <c r="J29" s="65">
        <f>SUMIFS(ExpensesTable[Amount],ExpensesTable[Month Start],$A$5,ExpensesTable[Day],I29)+SUMIFS(August2026Expenses[Amount],August2026Expenses[Month Start],$A$5,August2026Expenses[Day],I29)</f>
        <v>7625</v>
      </c>
      <c r="K29" s="29"/>
      <c r="L29" s="67" t="s">
        <v>36</v>
      </c>
      <c r="M29" s="65">
        <f>SUMIFS(ExpensesTable[Amount],ExpensesTable[Subcategory],L29,ExpensesTable[Month Start],$A$5)+SUMIFS(August2026Expenses[Amount],August2026Expenses[Subcategory],L29,August2026Expenses[Month Start],$A$5)</f>
        <v>0</v>
      </c>
      <c r="N29" s="66">
        <f t="shared" si="2"/>
        <v>0</v>
      </c>
      <c r="O29" s="29"/>
    </row>
    <row r="30" spans="1:15" x14ac:dyDescent="0.25">
      <c r="A30" s="25"/>
      <c r="B30" s="26"/>
      <c r="C30" s="26"/>
      <c r="D30" s="27"/>
      <c r="E30" s="25"/>
      <c r="F30" s="26"/>
      <c r="G30" s="26"/>
      <c r="H30" s="27"/>
      <c r="I30" s="68">
        <v>17</v>
      </c>
      <c r="J30" s="65">
        <f>SUMIFS(ExpensesTable[Amount],ExpensesTable[Month Start],$A$5,ExpensesTable[Day],I30)+SUMIFS(August2026Expenses[Amount],August2026Expenses[Month Start],$A$5,August2026Expenses[Day],I30)</f>
        <v>2259</v>
      </c>
      <c r="K30" s="29"/>
      <c r="L30" s="69" t="s">
        <v>22</v>
      </c>
      <c r="M30" s="70">
        <f>SUMIFS(ExpensesTable[Amount],ExpensesTable[Subcategory],L30,ExpensesTable[Month Start],$A$5)+SUMIFS(August2026Expenses[Amount],August2026Expenses[Subcategory],L30,August2026Expenses[Month Start],$A$5)</f>
        <v>1000</v>
      </c>
      <c r="N30" s="71">
        <f t="shared" si="2"/>
        <v>1.0421117352202504E-2</v>
      </c>
      <c r="O30" s="29"/>
    </row>
    <row r="31" spans="1:15" x14ac:dyDescent="0.25">
      <c r="A31" s="25"/>
      <c r="B31" s="26"/>
      <c r="C31" s="26"/>
      <c r="D31" s="27"/>
      <c r="E31" s="25"/>
      <c r="F31" s="26"/>
      <c r="G31" s="26"/>
      <c r="H31" s="27"/>
      <c r="I31" s="68">
        <v>18</v>
      </c>
      <c r="J31" s="65">
        <f>SUMIFS(ExpensesTable[Amount],ExpensesTable[Month Start],$A$5,ExpensesTable[Day],I31)+SUMIFS(August2026Expenses[Amount],August2026Expenses[Month Start],$A$5,August2026Expenses[Day],I31)</f>
        <v>0</v>
      </c>
      <c r="K31" s="29"/>
      <c r="L31" s="67" t="s">
        <v>37</v>
      </c>
      <c r="M31" s="65">
        <f>SUMIFS(ExpensesTable[Amount],ExpensesTable[Subcategory],L31,ExpensesTable[Month Start],$A$5)+SUMIFS(August2026Expenses[Amount],August2026Expenses[Subcategory],L31,August2026Expenses[Month Start],$A$5)</f>
        <v>3778</v>
      </c>
      <c r="N31" s="66">
        <f t="shared" si="2"/>
        <v>3.9370981356621058E-2</v>
      </c>
      <c r="O31" s="29"/>
    </row>
    <row r="32" spans="1:15" x14ac:dyDescent="0.25">
      <c r="A32" s="25"/>
      <c r="B32" s="26"/>
      <c r="C32" s="26"/>
      <c r="D32" s="27"/>
      <c r="E32" s="25"/>
      <c r="F32" s="26"/>
      <c r="G32" s="26"/>
      <c r="H32" s="27"/>
      <c r="I32" s="68">
        <v>19</v>
      </c>
      <c r="J32" s="65">
        <f>SUMIFS(ExpensesTable[Amount],ExpensesTable[Month Start],$A$5,ExpensesTable[Day],I32)+SUMIFS(August2026Expenses[Amount],August2026Expenses[Month Start],$A$5,August2026Expenses[Day],I32)</f>
        <v>0</v>
      </c>
      <c r="K32" s="29"/>
      <c r="L32" s="69" t="s">
        <v>38</v>
      </c>
      <c r="M32" s="70">
        <f>SUMIFS(ExpensesTable[Amount],ExpensesTable[Subcategory],L32,ExpensesTable[Month Start],$A$5)+SUMIFS(August2026Expenses[Amount],August2026Expenses[Subcategory],L32,August2026Expenses[Month Start],$A$5)</f>
        <v>3663</v>
      </c>
      <c r="N32" s="71">
        <f t="shared" si="2"/>
        <v>3.8172552861117766E-2</v>
      </c>
      <c r="O32" s="29"/>
    </row>
    <row r="33" spans="1:15" x14ac:dyDescent="0.25">
      <c r="A33" s="25"/>
      <c r="B33" s="26"/>
      <c r="C33" s="26"/>
      <c r="D33" s="27"/>
      <c r="E33" s="25"/>
      <c r="F33" s="26"/>
      <c r="G33" s="26"/>
      <c r="H33" s="27"/>
      <c r="I33" s="68">
        <v>20</v>
      </c>
      <c r="J33" s="65">
        <f>SUMIFS(ExpensesTable[Amount],ExpensesTable[Month Start],$A$5,ExpensesTable[Day],I33)+SUMIFS(August2026Expenses[Amount],August2026Expenses[Month Start],$A$5,August2026Expenses[Day],I33)</f>
        <v>0</v>
      </c>
      <c r="K33" s="29"/>
      <c r="L33" s="67" t="s">
        <v>23</v>
      </c>
      <c r="M33" s="65">
        <f>SUMIFS(ExpensesTable[Amount],ExpensesTable[Subcategory],L33,ExpensesTable[Month Start],$A$5)+SUMIFS(August2026Expenses[Amount],August2026Expenses[Subcategory],L33,August2026Expenses[Month Start],$A$5)</f>
        <v>3500</v>
      </c>
      <c r="N33" s="66">
        <f t="shared" si="2"/>
        <v>3.647391073270876E-2</v>
      </c>
      <c r="O33" s="29"/>
    </row>
    <row r="34" spans="1:15" x14ac:dyDescent="0.25">
      <c r="A34" s="25"/>
      <c r="B34" s="26"/>
      <c r="C34" s="26"/>
      <c r="D34" s="27"/>
      <c r="E34" s="25"/>
      <c r="F34" s="26"/>
      <c r="G34" s="26"/>
      <c r="H34" s="27"/>
      <c r="I34" s="68">
        <v>21</v>
      </c>
      <c r="J34" s="65">
        <f>SUMIFS(ExpensesTable[Amount],ExpensesTable[Month Start],$A$5,ExpensesTable[Day],I34)+SUMIFS(August2026Expenses[Amount],August2026Expenses[Month Start],$A$5,August2026Expenses[Day],I34)</f>
        <v>7904</v>
      </c>
      <c r="K34" s="29"/>
      <c r="L34" s="69" t="s">
        <v>39</v>
      </c>
      <c r="M34" s="70">
        <f>SUMIFS(ExpensesTable[Amount],ExpensesTable[Subcategory],L34,ExpensesTable[Month Start],$A$5)+SUMIFS(August2026Expenses[Amount],August2026Expenses[Subcategory],L34,August2026Expenses[Month Start],$A$5)</f>
        <v>7319</v>
      </c>
      <c r="N34" s="71">
        <f t="shared" si="2"/>
        <v>7.6272157900770118E-2</v>
      </c>
      <c r="O34" s="29"/>
    </row>
    <row r="35" spans="1:15" x14ac:dyDescent="0.25">
      <c r="A35" s="25"/>
      <c r="B35" s="26"/>
      <c r="C35" s="26"/>
      <c r="D35" s="27"/>
      <c r="E35" s="25"/>
      <c r="F35" s="26"/>
      <c r="G35" s="26"/>
      <c r="H35" s="27"/>
      <c r="I35" s="68">
        <v>22</v>
      </c>
      <c r="J35" s="65">
        <f>SUMIFS(ExpensesTable[Amount],ExpensesTable[Month Start],$A$5,ExpensesTable[Day],I35)+SUMIFS(August2026Expenses[Amount],August2026Expenses[Month Start],$A$5,August2026Expenses[Day],I35)</f>
        <v>0</v>
      </c>
      <c r="K35" s="29"/>
      <c r="L35" s="67" t="s">
        <v>40</v>
      </c>
      <c r="M35" s="65">
        <f>SUMIFS(ExpensesTable[Amount],ExpensesTable[Subcategory],L35,ExpensesTable[Month Start],$A$5)+SUMIFS(August2026Expenses[Amount],August2026Expenses[Subcategory],L35,August2026Expenses[Month Start],$A$5)</f>
        <v>0</v>
      </c>
      <c r="N35" s="66">
        <f t="shared" si="2"/>
        <v>0</v>
      </c>
      <c r="O35" s="29"/>
    </row>
    <row r="36" spans="1:15" x14ac:dyDescent="0.25">
      <c r="A36" s="25"/>
      <c r="B36" s="26"/>
      <c r="C36" s="26"/>
      <c r="D36" s="27"/>
      <c r="E36" s="25"/>
      <c r="F36" s="26"/>
      <c r="G36" s="26"/>
      <c r="H36" s="27"/>
      <c r="I36" s="68">
        <v>23</v>
      </c>
      <c r="J36" s="65">
        <f>SUMIFS(ExpensesTable[Amount],ExpensesTable[Month Start],$A$5,ExpensesTable[Day],I36)+SUMIFS(August2026Expenses[Amount],August2026Expenses[Month Start],$A$5,August2026Expenses[Day],I36)</f>
        <v>0</v>
      </c>
      <c r="K36" s="29"/>
      <c r="L36" s="69" t="s">
        <v>27</v>
      </c>
      <c r="M36" s="70">
        <f>SUMIFS(ExpensesTable[Amount],ExpensesTable[Subcategory],L36,ExpensesTable[Month Start],$A$5)+SUMIFS(August2026Expenses[Amount],August2026Expenses[Subcategory],L36,August2026Expenses[Month Start],$A$5)</f>
        <v>3327</v>
      </c>
      <c r="N36" s="71">
        <f t="shared" si="2"/>
        <v>3.4671057430777731E-2</v>
      </c>
      <c r="O36" s="29"/>
    </row>
    <row r="37" spans="1:15" x14ac:dyDescent="0.25">
      <c r="A37" s="25"/>
      <c r="B37" s="26"/>
      <c r="C37" s="26"/>
      <c r="D37" s="27"/>
      <c r="E37" s="25"/>
      <c r="F37" s="26"/>
      <c r="G37" s="26"/>
      <c r="H37" s="27"/>
      <c r="I37" s="68">
        <v>24</v>
      </c>
      <c r="J37" s="65">
        <f>SUMIFS(ExpensesTable[Amount],ExpensesTable[Month Start],$A$5,ExpensesTable[Day],I37)+SUMIFS(August2026Expenses[Amount],August2026Expenses[Month Start],$A$5,August2026Expenses[Day],I37)</f>
        <v>1520</v>
      </c>
      <c r="K37" s="29"/>
      <c r="L37" s="72" t="s">
        <v>11</v>
      </c>
      <c r="M37" s="73">
        <f>SUMIFS(ExpensesTable[Amount],ExpensesTable[Subcategory],L37,ExpensesTable[Month Start],$A$5)+SUMIFS(August2026Expenses[Amount],August2026Expenses[Subcategory],L37,August2026Expenses[Month Start],$A$5)</f>
        <v>6356</v>
      </c>
      <c r="N37" s="74">
        <f t="shared" si="2"/>
        <v>6.6236621890599104E-2</v>
      </c>
      <c r="O37" s="29"/>
    </row>
    <row r="38" spans="1:15" x14ac:dyDescent="0.25">
      <c r="A38" s="25"/>
      <c r="B38" s="26"/>
      <c r="C38" s="26"/>
      <c r="D38" s="27"/>
      <c r="E38" s="25"/>
      <c r="F38" s="26"/>
      <c r="G38" s="26"/>
      <c r="H38" s="27"/>
      <c r="I38" s="68">
        <v>25</v>
      </c>
      <c r="J38" s="65">
        <f>SUMIFS(ExpensesTable[Amount],ExpensesTable[Month Start],$A$5,ExpensesTable[Day],I38)+SUMIFS(August2026Expenses[Amount],August2026Expenses[Month Start],$A$5,August2026Expenses[Day],I38)</f>
        <v>0</v>
      </c>
      <c r="K38" s="29"/>
      <c r="L38" s="69" t="s">
        <v>252</v>
      </c>
      <c r="M38" s="70">
        <f>SUMIFS(ExpensesTable[Amount],ExpensesTable[Subcategory],L38,ExpensesTable[Month Start],$A$5)+SUMIFS(August2026Expenses[Amount],August2026Expenses[Subcategory],L38,August2026Expenses[Month Start],$A$5)</f>
        <v>772</v>
      </c>
      <c r="N38" s="71">
        <f t="shared" si="2"/>
        <v>8.0451025959003327E-3</v>
      </c>
      <c r="O38" s="29"/>
    </row>
    <row r="39" spans="1:15" x14ac:dyDescent="0.25">
      <c r="A39" s="25"/>
      <c r="B39" s="26"/>
      <c r="C39" s="26"/>
      <c r="D39" s="27"/>
      <c r="E39" s="25"/>
      <c r="F39" s="26"/>
      <c r="G39" s="26"/>
      <c r="H39" s="27"/>
      <c r="I39" s="68">
        <v>26</v>
      </c>
      <c r="J39" s="65">
        <f>SUMIFS(ExpensesTable[Amount],ExpensesTable[Month Start],$A$5,ExpensesTable[Day],I39)+SUMIFS(August2026Expenses[Amount],August2026Expenses[Month Start],$A$5,August2026Expenses[Day],I39)</f>
        <v>0</v>
      </c>
      <c r="K39" s="29"/>
      <c r="L39" s="147" t="s">
        <v>256</v>
      </c>
      <c r="M39" s="149">
        <f>SUMIFS(ExpensesTable[Amount],ExpensesTable[Subcategory],L39,ExpensesTable[Month Start],$A$5)+SUMIFS(August2026Expenses[Amount],August2026Expenses[Subcategory],L39,August2026Expenses[Month Start],$A$5)</f>
        <v>13154</v>
      </c>
      <c r="N39" s="148">
        <f t="shared" si="2"/>
        <v>0.13707937765087172</v>
      </c>
      <c r="O39" s="29"/>
    </row>
    <row r="40" spans="1:15" x14ac:dyDescent="0.25">
      <c r="A40" s="25"/>
      <c r="B40" s="26"/>
      <c r="C40" s="26"/>
      <c r="D40" s="27"/>
      <c r="E40" s="25"/>
      <c r="F40" s="26"/>
      <c r="G40" s="26"/>
      <c r="H40" s="27"/>
      <c r="I40" s="68">
        <v>27</v>
      </c>
      <c r="J40" s="65">
        <f>SUMIFS(ExpensesTable[Amount],ExpensesTable[Month Start],$A$5,ExpensesTable[Day],I40)+SUMIFS(August2026Expenses[Amount],August2026Expenses[Month Start],$A$5,August2026Expenses[Day],I40)</f>
        <v>1698</v>
      </c>
      <c r="K40" s="29"/>
      <c r="L40" s="147" t="s">
        <v>260</v>
      </c>
      <c r="M40" s="149">
        <f>SUMIFS(ExpensesTable[Amount],ExpensesTable[Subcategory],L40,ExpensesTable[Month Start],$A$5)+SUMIFS(August2026Expenses[Amount],August2026Expenses[Subcategory],L40,August2026Expenses[Month Start],$A$5)</f>
        <v>1350</v>
      </c>
      <c r="N40" s="148">
        <f t="shared" si="2"/>
        <v>1.4068508425473379E-2</v>
      </c>
      <c r="O40" s="29"/>
    </row>
    <row r="41" spans="1:15" x14ac:dyDescent="0.25">
      <c r="A41" s="25"/>
      <c r="B41" s="26"/>
      <c r="C41" s="26"/>
      <c r="D41" s="27"/>
      <c r="E41" s="25"/>
      <c r="F41" s="26"/>
      <c r="G41" s="26"/>
      <c r="H41" s="27"/>
      <c r="I41" s="68">
        <v>28</v>
      </c>
      <c r="J41" s="65">
        <f>SUMIFS(ExpensesTable[Amount],ExpensesTable[Month Start],$A$5,ExpensesTable[Day],I41)+SUMIFS(August2026Expenses[Amount],August2026Expenses[Month Start],$A$5,August2026Expenses[Day],I41)</f>
        <v>5821</v>
      </c>
      <c r="K41" s="29"/>
      <c r="L41" s="29"/>
      <c r="M41" s="29"/>
      <c r="N41" s="29"/>
      <c r="O41" s="29"/>
    </row>
    <row r="42" spans="1:15" x14ac:dyDescent="0.25">
      <c r="A42" s="25"/>
      <c r="B42" s="26"/>
      <c r="C42" s="26"/>
      <c r="D42" s="27"/>
      <c r="E42" s="25"/>
      <c r="F42" s="26"/>
      <c r="G42" s="26"/>
      <c r="H42" s="27"/>
      <c r="I42" s="68">
        <v>29</v>
      </c>
      <c r="J42" s="65">
        <f>SUMIFS(ExpensesTable[Amount],ExpensesTable[Month Start],$A$5,ExpensesTable[Day],I42)+SUMIFS(August2026Expenses[Amount],August2026Expenses[Month Start],$A$5,August2026Expenses[Day],I42)</f>
        <v>0</v>
      </c>
      <c r="K42" s="29"/>
      <c r="L42" s="29"/>
      <c r="M42" s="29"/>
      <c r="N42" s="29"/>
      <c r="O42" s="29"/>
    </row>
    <row r="43" spans="1:15" x14ac:dyDescent="0.25">
      <c r="A43" s="25"/>
      <c r="B43" s="26"/>
      <c r="C43" s="26"/>
      <c r="D43" s="27"/>
      <c r="E43" s="25"/>
      <c r="F43" s="26"/>
      <c r="G43" s="26"/>
      <c r="H43" s="27"/>
      <c r="I43" s="68">
        <v>30</v>
      </c>
      <c r="J43" s="65">
        <f>SUMIFS(ExpensesTable[Amount],ExpensesTable[Month Start],$A$5,ExpensesTable[Day],I43)+SUMIFS(August2026Expenses[Amount],August2026Expenses[Month Start],$A$5,August2026Expenses[Day],I43)</f>
        <v>3456</v>
      </c>
      <c r="K43" s="29"/>
      <c r="L43" s="29"/>
      <c r="M43" s="29"/>
      <c r="N43" s="29"/>
      <c r="O43" s="29"/>
    </row>
    <row r="44" spans="1:15" x14ac:dyDescent="0.25">
      <c r="A44" s="25"/>
      <c r="B44" s="26"/>
      <c r="C44" s="26"/>
      <c r="D44" s="27"/>
      <c r="E44" s="25"/>
      <c r="F44" s="26"/>
      <c r="G44" s="26"/>
      <c r="H44" s="27"/>
      <c r="I44" s="76">
        <v>31</v>
      </c>
      <c r="J44" s="73">
        <f>SUMIFS(ExpensesTable[Amount],ExpensesTable[Month Start],$A$5,ExpensesTable[Day],I44)+SUMIFS(August2026Expenses[Amount],August2026Expenses[Month Start],$A$5,August2026Expenses[Day],I44)</f>
        <v>0</v>
      </c>
      <c r="K44" s="29"/>
      <c r="L44" s="29"/>
      <c r="M44" s="29"/>
      <c r="N44" s="29"/>
      <c r="O44" s="29"/>
    </row>
    <row r="45" spans="1:15" x14ac:dyDescent="0.25">
      <c r="A45" s="25"/>
      <c r="B45" s="26"/>
      <c r="C45" s="26"/>
      <c r="D45" s="27"/>
      <c r="E45" s="25"/>
      <c r="F45" s="26"/>
      <c r="G45" s="26"/>
      <c r="H45" s="27"/>
      <c r="I45" s="28"/>
      <c r="J45" s="26"/>
      <c r="K45" s="29"/>
      <c r="L45" s="29"/>
      <c r="M45" s="29"/>
      <c r="N45" s="29"/>
      <c r="O45" s="29"/>
    </row>
    <row r="46" spans="1:15" x14ac:dyDescent="0.25">
      <c r="A46" s="25"/>
      <c r="B46" s="26"/>
      <c r="C46" s="26"/>
      <c r="D46" s="27"/>
      <c r="E46" s="25"/>
      <c r="F46" s="26"/>
      <c r="G46" s="26"/>
      <c r="H46" s="27"/>
      <c r="I46" s="28"/>
      <c r="J46" s="26"/>
      <c r="K46" s="29"/>
      <c r="L46" s="29"/>
      <c r="M46" s="29"/>
      <c r="N46" s="29"/>
      <c r="O46" s="29"/>
    </row>
    <row r="47" spans="1:15" x14ac:dyDescent="0.25">
      <c r="A47" s="25"/>
      <c r="B47" s="26"/>
      <c r="C47" s="26"/>
      <c r="D47" s="27"/>
      <c r="E47" s="25"/>
      <c r="F47" s="26"/>
      <c r="G47" s="26"/>
      <c r="H47" s="27"/>
      <c r="I47" s="28"/>
      <c r="J47" s="26"/>
      <c r="K47" s="29"/>
      <c r="L47" s="29"/>
      <c r="M47" s="29"/>
      <c r="N47" s="29"/>
      <c r="O47" s="29"/>
    </row>
    <row r="48" spans="1:15" x14ac:dyDescent="0.25">
      <c r="A48" s="25"/>
      <c r="B48" s="26"/>
      <c r="C48" s="26"/>
      <c r="D48" s="27"/>
      <c r="E48" s="25"/>
      <c r="F48" s="26"/>
      <c r="G48" s="26"/>
      <c r="H48" s="27"/>
      <c r="I48" s="28"/>
      <c r="J48" s="26"/>
      <c r="K48" s="29"/>
      <c r="L48" s="29"/>
      <c r="M48" s="29"/>
      <c r="N48" s="29"/>
      <c r="O48" s="29"/>
    </row>
    <row r="49" spans="1:15" x14ac:dyDescent="0.25">
      <c r="A49" s="25"/>
      <c r="B49" s="26"/>
      <c r="C49" s="26"/>
      <c r="D49" s="27"/>
      <c r="E49" s="25"/>
      <c r="F49" s="26"/>
      <c r="G49" s="26"/>
      <c r="H49" s="27"/>
      <c r="I49" s="28"/>
      <c r="J49" s="26"/>
      <c r="K49" s="29"/>
      <c r="L49" s="29"/>
      <c r="M49" s="29"/>
      <c r="N49" s="29"/>
      <c r="O49" s="29"/>
    </row>
    <row r="50" spans="1:15" x14ac:dyDescent="0.25">
      <c r="A50" s="25"/>
      <c r="B50" s="26"/>
      <c r="C50" s="26"/>
      <c r="D50" s="27"/>
      <c r="E50" s="25"/>
      <c r="F50" s="26"/>
      <c r="G50" s="26"/>
      <c r="H50" s="27"/>
      <c r="I50" s="28"/>
      <c r="J50" s="26"/>
      <c r="K50" s="29"/>
      <c r="L50" s="29"/>
      <c r="M50" s="29"/>
      <c r="N50" s="29"/>
      <c r="O50" s="29"/>
    </row>
    <row r="51" spans="1:15" x14ac:dyDescent="0.25">
      <c r="A51" s="25"/>
      <c r="B51" s="26"/>
      <c r="C51" s="26"/>
      <c r="D51" s="27"/>
      <c r="E51" s="25"/>
      <c r="F51" s="26"/>
      <c r="G51" s="26"/>
      <c r="H51" s="27"/>
      <c r="I51" s="28"/>
      <c r="J51" s="26"/>
      <c r="K51" s="29"/>
      <c r="L51" s="29"/>
      <c r="M51" s="29"/>
      <c r="N51" s="29"/>
      <c r="O51" s="29"/>
    </row>
    <row r="52" spans="1:15" x14ac:dyDescent="0.25">
      <c r="A52" s="25"/>
      <c r="B52" s="26"/>
      <c r="C52" s="26"/>
      <c r="D52" s="27"/>
      <c r="E52" s="25"/>
      <c r="F52" s="26"/>
      <c r="G52" s="26"/>
      <c r="H52" s="27"/>
      <c r="I52" s="28"/>
      <c r="J52" s="26"/>
      <c r="K52" s="29"/>
      <c r="L52" s="29"/>
      <c r="M52" s="29"/>
      <c r="N52" s="29"/>
      <c r="O52" s="29"/>
    </row>
    <row r="53" spans="1:15" x14ac:dyDescent="0.25">
      <c r="A53" s="25"/>
      <c r="B53" s="26"/>
      <c r="C53" s="26"/>
      <c r="D53" s="27"/>
      <c r="E53" s="25"/>
      <c r="F53" s="26"/>
      <c r="G53" s="26"/>
      <c r="H53" s="27"/>
      <c r="I53" s="28"/>
      <c r="J53" s="26"/>
      <c r="K53" s="29"/>
      <c r="L53" s="29"/>
      <c r="M53" s="29"/>
      <c r="N53" s="29"/>
      <c r="O53" s="29"/>
    </row>
    <row r="54" spans="1:15" x14ac:dyDescent="0.25">
      <c r="A54" s="25"/>
      <c r="B54" s="26"/>
      <c r="C54" s="26"/>
      <c r="D54" s="27"/>
      <c r="E54" s="25"/>
      <c r="F54" s="26"/>
      <c r="G54" s="26"/>
      <c r="H54" s="27"/>
      <c r="I54" s="28"/>
      <c r="J54" s="26"/>
      <c r="K54" s="29"/>
      <c r="L54" s="29"/>
      <c r="M54" s="29"/>
      <c r="N54" s="29"/>
      <c r="O54" s="29"/>
    </row>
    <row r="55" spans="1:15" x14ac:dyDescent="0.25">
      <c r="A55" s="25"/>
      <c r="B55" s="26"/>
      <c r="C55" s="26"/>
      <c r="D55" s="27"/>
      <c r="E55" s="25"/>
      <c r="F55" s="26"/>
      <c r="G55" s="26"/>
      <c r="H55" s="27"/>
      <c r="I55" s="28"/>
      <c r="J55" s="26"/>
      <c r="K55" s="29"/>
      <c r="L55" s="29"/>
      <c r="M55" s="29"/>
      <c r="N55" s="29"/>
      <c r="O55" s="29"/>
    </row>
    <row r="56" spans="1:15" x14ac:dyDescent="0.25">
      <c r="A56" s="25"/>
      <c r="B56" s="26"/>
      <c r="C56" s="26"/>
      <c r="D56" s="27"/>
      <c r="E56" s="25"/>
      <c r="F56" s="26"/>
      <c r="G56" s="26"/>
      <c r="H56" s="27"/>
      <c r="I56" s="28"/>
      <c r="J56" s="26"/>
      <c r="K56" s="29"/>
      <c r="L56" s="29"/>
      <c r="M56" s="29"/>
      <c r="N56" s="29"/>
      <c r="O56" s="29"/>
    </row>
    <row r="57" spans="1:15" x14ac:dyDescent="0.25">
      <c r="A57" s="25"/>
      <c r="B57" s="26"/>
      <c r="C57" s="26"/>
      <c r="D57" s="27"/>
      <c r="E57" s="25"/>
      <c r="F57" s="26"/>
      <c r="G57" s="26"/>
      <c r="H57" s="27"/>
      <c r="I57" s="28"/>
      <c r="J57" s="26"/>
      <c r="K57" s="29"/>
      <c r="L57" s="29"/>
      <c r="M57" s="29"/>
      <c r="N57" s="29"/>
      <c r="O57" s="29"/>
    </row>
    <row r="58" spans="1:15" x14ac:dyDescent="0.25">
      <c r="A58" s="25"/>
      <c r="B58" s="26"/>
      <c r="C58" s="26"/>
      <c r="D58" s="27"/>
      <c r="E58" s="25"/>
      <c r="F58" s="26"/>
      <c r="G58" s="26"/>
      <c r="H58" s="27"/>
      <c r="I58" s="28"/>
      <c r="J58" s="26"/>
      <c r="K58" s="29"/>
      <c r="L58" s="29"/>
      <c r="M58" s="29"/>
      <c r="N58" s="29"/>
      <c r="O58" s="29"/>
    </row>
    <row r="59" spans="1:15" x14ac:dyDescent="0.25">
      <c r="A59" s="25"/>
      <c r="B59" s="26"/>
      <c r="C59" s="26"/>
      <c r="D59" s="27"/>
      <c r="E59" s="25"/>
      <c r="F59" s="26"/>
      <c r="G59" s="26"/>
      <c r="H59" s="27"/>
      <c r="I59" s="28"/>
      <c r="J59" s="26"/>
      <c r="K59" s="29"/>
      <c r="L59" s="29"/>
      <c r="M59" s="29"/>
      <c r="N59" s="29"/>
      <c r="O59" s="29"/>
    </row>
    <row r="60" spans="1:15" x14ac:dyDescent="0.25">
      <c r="A60" s="25"/>
      <c r="B60" s="26"/>
      <c r="C60" s="26"/>
      <c r="D60" s="27"/>
      <c r="E60" s="25"/>
      <c r="F60" s="26"/>
      <c r="G60" s="26"/>
      <c r="H60" s="27"/>
      <c r="I60" s="28"/>
      <c r="J60" s="26"/>
      <c r="K60" s="29"/>
      <c r="L60" s="29"/>
      <c r="M60" s="29"/>
      <c r="N60" s="29"/>
      <c r="O60" s="29"/>
    </row>
    <row r="61" spans="1:15" x14ac:dyDescent="0.25">
      <c r="A61" s="25"/>
      <c r="B61" s="26"/>
      <c r="C61" s="26"/>
      <c r="D61" s="27"/>
      <c r="E61" s="25"/>
      <c r="F61" s="26"/>
      <c r="G61" s="26"/>
      <c r="H61" s="27"/>
      <c r="I61" s="28"/>
      <c r="J61" s="26"/>
      <c r="K61" s="29"/>
      <c r="L61" s="29"/>
      <c r="M61" s="29"/>
      <c r="N61" s="29"/>
      <c r="O61" s="29"/>
    </row>
    <row r="62" spans="1:15" x14ac:dyDescent="0.25">
      <c r="A62" s="25"/>
      <c r="B62" s="26"/>
      <c r="C62" s="26"/>
      <c r="D62" s="27"/>
      <c r="E62" s="25"/>
      <c r="F62" s="26"/>
      <c r="G62" s="26"/>
      <c r="H62" s="27"/>
      <c r="I62" s="28"/>
      <c r="J62" s="26"/>
      <c r="K62" s="29"/>
      <c r="L62" s="29"/>
      <c r="M62" s="29"/>
      <c r="N62" s="29"/>
      <c r="O62" s="29"/>
    </row>
    <row r="63" spans="1:15" x14ac:dyDescent="0.25">
      <c r="A63" s="25"/>
      <c r="B63" s="26"/>
      <c r="C63" s="26"/>
      <c r="D63" s="27"/>
      <c r="E63" s="25"/>
      <c r="F63" s="26"/>
      <c r="G63" s="26"/>
      <c r="H63" s="27"/>
      <c r="I63" s="28"/>
      <c r="J63" s="26"/>
      <c r="K63" s="29"/>
      <c r="L63" s="29"/>
      <c r="M63" s="29"/>
      <c r="N63" s="29"/>
      <c r="O63" s="29"/>
    </row>
    <row r="64" spans="1:15" x14ac:dyDescent="0.25">
      <c r="A64" s="25"/>
      <c r="B64" s="26"/>
      <c r="C64" s="26"/>
      <c r="D64" s="27"/>
      <c r="E64" s="25"/>
      <c r="F64" s="26"/>
      <c r="G64" s="26"/>
      <c r="H64" s="27"/>
      <c r="I64" s="28"/>
      <c r="J64" s="26"/>
      <c r="K64" s="29"/>
      <c r="L64" s="29"/>
      <c r="M64" s="29"/>
      <c r="N64" s="29"/>
      <c r="O64" s="29"/>
    </row>
    <row r="65" spans="1:15" x14ac:dyDescent="0.25">
      <c r="A65" s="25"/>
      <c r="B65" s="26"/>
      <c r="C65" s="26"/>
      <c r="D65" s="27"/>
      <c r="E65" s="25"/>
      <c r="F65" s="26"/>
      <c r="G65" s="26"/>
      <c r="H65" s="27"/>
      <c r="I65" s="28"/>
      <c r="J65" s="26"/>
      <c r="K65" s="29"/>
      <c r="L65" s="29"/>
      <c r="M65" s="29"/>
      <c r="N65" s="29"/>
      <c r="O65" s="29"/>
    </row>
    <row r="66" spans="1:15" x14ac:dyDescent="0.25">
      <c r="A66" s="25"/>
      <c r="B66" s="26"/>
      <c r="C66" s="26"/>
      <c r="D66" s="27"/>
      <c r="E66" s="25"/>
      <c r="F66" s="26"/>
      <c r="G66" s="26"/>
      <c r="H66" s="27"/>
      <c r="I66" s="28"/>
      <c r="J66" s="26"/>
      <c r="K66" s="29"/>
      <c r="L66" s="29"/>
      <c r="M66" s="29"/>
      <c r="N66" s="29"/>
      <c r="O66" s="29"/>
    </row>
    <row r="67" spans="1:15" x14ac:dyDescent="0.25">
      <c r="A67" s="25"/>
      <c r="B67" s="26"/>
      <c r="C67" s="26"/>
      <c r="D67" s="27"/>
      <c r="E67" s="25"/>
      <c r="F67" s="26"/>
      <c r="G67" s="26"/>
      <c r="H67" s="27"/>
      <c r="I67" s="28"/>
      <c r="J67" s="26"/>
      <c r="K67" s="29"/>
      <c r="L67" s="29"/>
      <c r="M67" s="29"/>
      <c r="N67" s="29"/>
      <c r="O67" s="29"/>
    </row>
    <row r="68" spans="1:15" x14ac:dyDescent="0.25">
      <c r="A68" s="25"/>
      <c r="B68" s="26"/>
      <c r="C68" s="26"/>
      <c r="D68" s="27"/>
      <c r="E68" s="25"/>
      <c r="F68" s="26"/>
      <c r="G68" s="26"/>
      <c r="H68" s="27"/>
      <c r="I68" s="28"/>
      <c r="J68" s="26"/>
      <c r="K68" s="29"/>
      <c r="L68" s="29"/>
      <c r="M68" s="29"/>
      <c r="N68" s="29"/>
      <c r="O68" s="29"/>
    </row>
    <row r="69" spans="1:15" x14ac:dyDescent="0.25">
      <c r="A69" s="25"/>
      <c r="B69" s="26"/>
      <c r="C69" s="26"/>
      <c r="D69" s="27"/>
      <c r="E69" s="25"/>
      <c r="F69" s="26"/>
      <c r="G69" s="26"/>
      <c r="H69" s="27"/>
      <c r="I69" s="28"/>
      <c r="J69" s="26"/>
      <c r="K69" s="29"/>
      <c r="L69" s="29"/>
      <c r="M69" s="29"/>
      <c r="N69" s="29"/>
      <c r="O69" s="29"/>
    </row>
    <row r="70" spans="1:15" x14ac:dyDescent="0.25">
      <c r="A70" s="25"/>
      <c r="B70" s="26"/>
      <c r="C70" s="26"/>
      <c r="D70" s="27"/>
      <c r="E70" s="25"/>
      <c r="F70" s="26"/>
      <c r="G70" s="26"/>
      <c r="H70" s="27"/>
      <c r="I70" s="28"/>
      <c r="J70" s="26"/>
      <c r="K70" s="29"/>
      <c r="L70" s="29"/>
      <c r="M70" s="29"/>
      <c r="N70" s="29"/>
      <c r="O70" s="29"/>
    </row>
    <row r="71" spans="1:15" x14ac:dyDescent="0.25">
      <c r="A71" s="25"/>
      <c r="B71" s="26"/>
      <c r="C71" s="26"/>
      <c r="D71" s="27"/>
      <c r="E71" s="25"/>
      <c r="F71" s="26"/>
      <c r="G71" s="26"/>
      <c r="H71" s="27"/>
      <c r="I71" s="28"/>
      <c r="J71" s="26"/>
      <c r="K71" s="29"/>
      <c r="L71" s="29"/>
      <c r="M71" s="29"/>
      <c r="N71" s="29"/>
      <c r="O71" s="29"/>
    </row>
    <row r="72" spans="1:15" x14ac:dyDescent="0.25">
      <c r="A72" s="25"/>
      <c r="B72" s="26"/>
      <c r="C72" s="26"/>
      <c r="D72" s="27"/>
      <c r="E72" s="25"/>
      <c r="F72" s="26"/>
      <c r="G72" s="26"/>
      <c r="H72" s="27"/>
      <c r="I72" s="28"/>
      <c r="J72" s="26"/>
      <c r="K72" s="29"/>
      <c r="L72" s="29"/>
      <c r="M72" s="29"/>
      <c r="N72" s="29"/>
      <c r="O72" s="29"/>
    </row>
    <row r="73" spans="1:15" x14ac:dyDescent="0.25">
      <c r="A73" s="25"/>
      <c r="B73" s="26"/>
      <c r="C73" s="26"/>
      <c r="D73" s="27"/>
      <c r="E73" s="25"/>
      <c r="F73" s="26"/>
      <c r="G73" s="26"/>
      <c r="H73" s="27"/>
      <c r="I73" s="28"/>
      <c r="J73" s="26"/>
      <c r="K73" s="29"/>
      <c r="L73" s="29"/>
      <c r="M73" s="29"/>
      <c r="N73" s="29"/>
      <c r="O73" s="29"/>
    </row>
    <row r="74" spans="1:15" x14ac:dyDescent="0.25">
      <c r="A74" s="25"/>
      <c r="B74" s="26"/>
      <c r="C74" s="26"/>
      <c r="D74" s="27"/>
      <c r="E74" s="25"/>
      <c r="F74" s="26"/>
      <c r="G74" s="26"/>
      <c r="H74" s="27"/>
      <c r="I74" s="28"/>
      <c r="J74" s="26"/>
      <c r="K74" s="29"/>
      <c r="L74" s="29"/>
      <c r="M74" s="29"/>
      <c r="N74" s="29"/>
      <c r="O74" s="29"/>
    </row>
    <row r="75" spans="1:15" x14ac:dyDescent="0.25">
      <c r="A75" s="25"/>
      <c r="B75" s="26"/>
      <c r="C75" s="26"/>
      <c r="D75" s="27"/>
      <c r="E75" s="25"/>
      <c r="F75" s="26"/>
      <c r="G75" s="26"/>
      <c r="H75" s="27"/>
      <c r="I75" s="28"/>
      <c r="J75" s="26"/>
      <c r="K75" s="29"/>
      <c r="L75" s="29"/>
      <c r="M75" s="29"/>
      <c r="N75" s="29"/>
      <c r="O75" s="29"/>
    </row>
    <row r="76" spans="1:15" x14ac:dyDescent="0.25">
      <c r="A76" s="25"/>
      <c r="B76" s="26"/>
      <c r="C76" s="26"/>
      <c r="D76" s="27"/>
      <c r="E76" s="25"/>
      <c r="F76" s="26"/>
      <c r="G76" s="26"/>
      <c r="H76" s="27"/>
      <c r="I76" s="28"/>
      <c r="J76" s="26"/>
      <c r="K76" s="29"/>
      <c r="L76" s="29"/>
      <c r="M76" s="29"/>
      <c r="N76" s="29"/>
      <c r="O76" s="29"/>
    </row>
    <row r="77" spans="1:15" x14ac:dyDescent="0.25">
      <c r="A77" s="25"/>
      <c r="B77" s="26"/>
      <c r="C77" s="26"/>
      <c r="D77" s="27"/>
      <c r="E77" s="25"/>
      <c r="F77" s="26"/>
      <c r="G77" s="26"/>
      <c r="H77" s="27"/>
      <c r="I77" s="28"/>
      <c r="J77" s="26"/>
      <c r="K77" s="29"/>
      <c r="L77" s="29"/>
      <c r="M77" s="29"/>
      <c r="N77" s="29"/>
      <c r="O77" s="29"/>
    </row>
    <row r="78" spans="1:15" x14ac:dyDescent="0.25">
      <c r="A78" s="25"/>
      <c r="B78" s="26"/>
      <c r="C78" s="26"/>
      <c r="D78" s="27"/>
      <c r="E78" s="25"/>
      <c r="F78" s="26"/>
      <c r="G78" s="26"/>
      <c r="H78" s="27"/>
      <c r="I78" s="28"/>
      <c r="J78" s="26"/>
      <c r="K78" s="29"/>
      <c r="L78" s="29"/>
      <c r="M78" s="29"/>
      <c r="N78" s="29"/>
      <c r="O78" s="29"/>
    </row>
    <row r="79" spans="1:15" x14ac:dyDescent="0.25">
      <c r="A79" s="25"/>
      <c r="B79" s="26"/>
      <c r="C79" s="26"/>
      <c r="D79" s="27"/>
      <c r="E79" s="25"/>
      <c r="F79" s="26"/>
      <c r="G79" s="26"/>
      <c r="H79" s="27"/>
      <c r="I79" s="28"/>
      <c r="J79" s="26"/>
      <c r="K79" s="29"/>
      <c r="L79" s="29"/>
      <c r="M79" s="29"/>
      <c r="N79" s="29"/>
      <c r="O79" s="29"/>
    </row>
    <row r="80" spans="1:15" x14ac:dyDescent="0.25">
      <c r="A80" s="25"/>
      <c r="B80" s="26"/>
      <c r="C80" s="26"/>
      <c r="D80" s="27"/>
      <c r="E80" s="25"/>
      <c r="F80" s="26"/>
      <c r="G80" s="26"/>
      <c r="H80" s="27"/>
      <c r="I80" s="28"/>
      <c r="J80" s="26"/>
      <c r="K80" s="29"/>
      <c r="L80" s="29"/>
      <c r="M80" s="29"/>
      <c r="N80" s="29"/>
      <c r="O80" s="29"/>
    </row>
    <row r="81" spans="1:15" x14ac:dyDescent="0.25">
      <c r="A81" s="25"/>
      <c r="B81" s="26"/>
      <c r="C81" s="26"/>
      <c r="D81" s="27"/>
      <c r="E81" s="25"/>
      <c r="F81" s="26"/>
      <c r="G81" s="26"/>
      <c r="H81" s="27"/>
      <c r="I81" s="28"/>
      <c r="J81" s="26"/>
      <c r="K81" s="29"/>
      <c r="L81" s="29"/>
      <c r="M81" s="29"/>
      <c r="N81" s="29"/>
      <c r="O81" s="29"/>
    </row>
    <row r="82" spans="1:15" x14ac:dyDescent="0.25">
      <c r="A82" s="25"/>
      <c r="B82" s="26"/>
      <c r="C82" s="26"/>
      <c r="D82" s="27"/>
      <c r="E82" s="25"/>
      <c r="F82" s="26"/>
      <c r="G82" s="26"/>
      <c r="H82" s="27"/>
      <c r="I82" s="28"/>
      <c r="J82" s="26"/>
      <c r="K82" s="29"/>
      <c r="L82" s="29"/>
      <c r="M82" s="29"/>
      <c r="N82" s="29"/>
      <c r="O82" s="29"/>
    </row>
    <row r="83" spans="1:15" x14ac:dyDescent="0.25">
      <c r="A83" s="25"/>
      <c r="B83" s="26"/>
      <c r="C83" s="26"/>
      <c r="D83" s="27"/>
      <c r="E83" s="25"/>
      <c r="F83" s="26"/>
      <c r="G83" s="26"/>
      <c r="H83" s="27"/>
      <c r="I83" s="28"/>
      <c r="J83" s="26"/>
      <c r="K83" s="29"/>
      <c r="L83" s="29"/>
      <c r="M83" s="29"/>
      <c r="N83" s="29"/>
      <c r="O83" s="29"/>
    </row>
    <row r="84" spans="1:15" x14ac:dyDescent="0.25">
      <c r="A84" s="77"/>
      <c r="B84" s="78"/>
      <c r="C84" s="78"/>
      <c r="D84" s="29"/>
      <c r="E84" s="77"/>
      <c r="F84" s="78"/>
      <c r="G84" s="78"/>
      <c r="H84" s="29"/>
      <c r="I84" s="79"/>
      <c r="J84" s="78"/>
      <c r="K84" s="29"/>
      <c r="L84" s="29"/>
      <c r="M84" s="29"/>
      <c r="N84" s="29"/>
      <c r="O84" s="29"/>
    </row>
    <row r="85" spans="1:15" x14ac:dyDescent="0.25">
      <c r="A85" s="77"/>
      <c r="B85" s="78"/>
      <c r="C85" s="78"/>
      <c r="D85" s="29"/>
      <c r="E85" s="77"/>
      <c r="F85" s="78"/>
      <c r="G85" s="78"/>
      <c r="H85" s="29"/>
      <c r="I85" s="79"/>
      <c r="J85" s="78"/>
      <c r="K85" s="29"/>
      <c r="L85" s="29"/>
      <c r="M85" s="29"/>
      <c r="N85" s="29"/>
      <c r="O85" s="29"/>
    </row>
    <row r="86" spans="1:15" x14ac:dyDescent="0.25">
      <c r="A86" s="77"/>
      <c r="B86" s="78"/>
      <c r="C86" s="78"/>
      <c r="D86" s="29"/>
      <c r="E86" s="77"/>
      <c r="F86" s="78"/>
      <c r="G86" s="78"/>
      <c r="H86" s="29"/>
      <c r="I86" s="79"/>
      <c r="J86" s="78"/>
      <c r="K86" s="29"/>
      <c r="L86" s="29"/>
      <c r="M86" s="29"/>
      <c r="N86" s="29"/>
      <c r="O86" s="29"/>
    </row>
    <row r="87" spans="1:15" x14ac:dyDescent="0.25">
      <c r="A87" s="77"/>
      <c r="B87" s="78"/>
      <c r="C87" s="78"/>
      <c r="D87" s="29"/>
      <c r="E87" s="77"/>
      <c r="F87" s="78"/>
      <c r="G87" s="78"/>
      <c r="H87" s="29"/>
      <c r="I87" s="79"/>
      <c r="J87" s="78"/>
      <c r="K87" s="29"/>
      <c r="L87" s="29"/>
      <c r="M87" s="29"/>
      <c r="N87" s="29"/>
      <c r="O87" s="29"/>
    </row>
    <row r="88" spans="1:15" x14ac:dyDescent="0.25">
      <c r="A88" s="77"/>
      <c r="B88" s="78"/>
      <c r="C88" s="78"/>
      <c r="D88" s="29"/>
      <c r="E88" s="77"/>
      <c r="F88" s="78"/>
      <c r="G88" s="78"/>
      <c r="H88" s="29"/>
      <c r="I88" s="79"/>
      <c r="J88" s="78"/>
      <c r="K88" s="29"/>
      <c r="L88" s="29"/>
      <c r="M88" s="29"/>
      <c r="N88" s="29"/>
      <c r="O88" s="29"/>
    </row>
    <row r="89" spans="1:15" x14ac:dyDescent="0.25">
      <c r="A89" s="77"/>
      <c r="B89" s="78"/>
      <c r="C89" s="78"/>
      <c r="D89" s="29"/>
      <c r="E89" s="77"/>
      <c r="F89" s="78"/>
      <c r="G89" s="78"/>
      <c r="H89" s="29"/>
      <c r="I89" s="79"/>
      <c r="J89" s="78"/>
      <c r="K89" s="29"/>
      <c r="L89" s="29"/>
      <c r="M89" s="29"/>
      <c r="N89" s="29"/>
      <c r="O89" s="29"/>
    </row>
    <row r="90" spans="1:15" x14ac:dyDescent="0.25">
      <c r="A90" s="77"/>
      <c r="B90" s="78"/>
      <c r="C90" s="78"/>
      <c r="D90" s="29"/>
      <c r="E90" s="77"/>
      <c r="F90" s="78"/>
      <c r="G90" s="78"/>
      <c r="H90" s="29"/>
      <c r="I90" s="79"/>
      <c r="J90" s="78"/>
      <c r="K90" s="29"/>
      <c r="L90" s="29"/>
      <c r="M90" s="29"/>
      <c r="N90" s="29"/>
      <c r="O90" s="29"/>
    </row>
    <row r="91" spans="1:15" x14ac:dyDescent="0.25">
      <c r="A91" s="77"/>
      <c r="B91" s="78"/>
      <c r="C91" s="78"/>
      <c r="D91" s="29"/>
      <c r="E91" s="77"/>
      <c r="F91" s="78"/>
      <c r="G91" s="78"/>
      <c r="H91" s="29"/>
      <c r="I91" s="79"/>
      <c r="J91" s="78"/>
      <c r="K91" s="29"/>
      <c r="L91" s="29"/>
      <c r="M91" s="29"/>
      <c r="N91" s="29"/>
      <c r="O91" s="29"/>
    </row>
    <row r="92" spans="1:15" x14ac:dyDescent="0.25">
      <c r="A92" s="77"/>
      <c r="B92" s="78"/>
      <c r="C92" s="78"/>
      <c r="D92" s="29"/>
      <c r="E92" s="77"/>
      <c r="F92" s="78"/>
      <c r="G92" s="78"/>
      <c r="H92" s="29"/>
      <c r="I92" s="79"/>
      <c r="J92" s="78"/>
      <c r="K92" s="29"/>
      <c r="L92" s="29"/>
      <c r="M92" s="29"/>
      <c r="N92" s="29"/>
      <c r="O92" s="29"/>
    </row>
    <row r="93" spans="1:15" x14ac:dyDescent="0.25">
      <c r="A93" s="77"/>
      <c r="B93" s="78"/>
      <c r="C93" s="78"/>
      <c r="D93" s="29"/>
      <c r="E93" s="77"/>
      <c r="F93" s="78"/>
      <c r="G93" s="78"/>
      <c r="H93" s="29"/>
      <c r="I93" s="79"/>
      <c r="J93" s="78"/>
      <c r="K93" s="29"/>
      <c r="L93" s="29"/>
      <c r="M93" s="29"/>
      <c r="N93" s="29"/>
      <c r="O93" s="29"/>
    </row>
    <row r="94" spans="1:15" x14ac:dyDescent="0.25">
      <c r="A94" s="77"/>
      <c r="B94" s="78"/>
      <c r="C94" s="78"/>
      <c r="D94" s="29"/>
      <c r="E94" s="77"/>
      <c r="F94" s="78"/>
      <c r="G94" s="78"/>
      <c r="H94" s="29"/>
      <c r="I94" s="79"/>
      <c r="J94" s="78"/>
      <c r="K94" s="29"/>
      <c r="L94" s="29"/>
      <c r="M94" s="29"/>
      <c r="N94" s="29"/>
      <c r="O94" s="29"/>
    </row>
    <row r="95" spans="1:15" x14ac:dyDescent="0.25">
      <c r="A95" s="77"/>
      <c r="B95" s="78"/>
      <c r="C95" s="78"/>
      <c r="D95" s="29"/>
      <c r="E95" s="77"/>
      <c r="F95" s="78"/>
      <c r="G95" s="78"/>
      <c r="H95" s="29"/>
      <c r="I95" s="79"/>
      <c r="J95" s="78"/>
      <c r="K95" s="29"/>
      <c r="L95" s="29"/>
      <c r="M95" s="29"/>
      <c r="N95" s="29"/>
      <c r="O95" s="29"/>
    </row>
    <row r="96" spans="1:15" x14ac:dyDescent="0.25">
      <c r="A96" s="77"/>
      <c r="B96" s="78"/>
      <c r="C96" s="78"/>
      <c r="D96" s="29"/>
      <c r="E96" s="77"/>
      <c r="F96" s="78"/>
      <c r="G96" s="78"/>
      <c r="H96" s="29"/>
      <c r="I96" s="79"/>
      <c r="J96" s="78"/>
      <c r="K96" s="29"/>
      <c r="L96" s="29"/>
      <c r="M96" s="29"/>
      <c r="N96" s="29"/>
      <c r="O96" s="29"/>
    </row>
    <row r="97" spans="1:15" x14ac:dyDescent="0.25">
      <c r="A97" s="77"/>
      <c r="B97" s="78"/>
      <c r="C97" s="78"/>
      <c r="D97" s="29"/>
      <c r="E97" s="77"/>
      <c r="F97" s="78"/>
      <c r="G97" s="78"/>
      <c r="H97" s="29"/>
      <c r="I97" s="79"/>
      <c r="J97" s="78"/>
      <c r="K97" s="29"/>
      <c r="L97" s="29"/>
      <c r="M97" s="29"/>
      <c r="N97" s="29"/>
      <c r="O97" s="29"/>
    </row>
    <row r="98" spans="1:15" x14ac:dyDescent="0.25">
      <c r="A98" s="77"/>
      <c r="B98" s="78"/>
      <c r="C98" s="78"/>
      <c r="D98" s="29"/>
      <c r="E98" s="77"/>
      <c r="F98" s="78"/>
      <c r="G98" s="78"/>
      <c r="H98" s="29"/>
      <c r="I98" s="79"/>
      <c r="J98" s="78"/>
      <c r="K98" s="29"/>
      <c r="L98" s="29"/>
      <c r="M98" s="29"/>
      <c r="N98" s="29"/>
      <c r="O98" s="29"/>
    </row>
    <row r="99" spans="1:15" x14ac:dyDescent="0.25">
      <c r="A99" s="77"/>
      <c r="B99" s="78"/>
      <c r="C99" s="78"/>
      <c r="D99" s="29"/>
      <c r="E99" s="77"/>
      <c r="F99" s="78"/>
      <c r="G99" s="78"/>
      <c r="H99" s="29"/>
      <c r="I99" s="79"/>
      <c r="J99" s="78"/>
      <c r="K99" s="29"/>
      <c r="L99" s="29"/>
      <c r="M99" s="29"/>
      <c r="N99" s="29"/>
      <c r="O99" s="29"/>
    </row>
    <row r="100" spans="1:15" x14ac:dyDescent="0.25">
      <c r="A100" s="77"/>
      <c r="B100" s="78"/>
      <c r="C100" s="78"/>
      <c r="D100" s="29"/>
      <c r="E100" s="77"/>
      <c r="F100" s="78"/>
      <c r="G100" s="78"/>
      <c r="H100" s="29"/>
      <c r="I100" s="79"/>
      <c r="J100" s="78"/>
      <c r="K100" s="29"/>
      <c r="L100" s="29"/>
      <c r="M100" s="29"/>
      <c r="N100" s="29"/>
      <c r="O100" s="29"/>
    </row>
    <row r="101" spans="1:15" x14ac:dyDescent="0.25">
      <c r="A101" s="77"/>
      <c r="B101" s="78"/>
      <c r="C101" s="78"/>
      <c r="D101" s="29"/>
      <c r="E101" s="77"/>
      <c r="F101" s="78"/>
      <c r="G101" s="78"/>
      <c r="H101" s="29"/>
      <c r="I101" s="79"/>
      <c r="J101" s="78"/>
      <c r="K101" s="29"/>
      <c r="L101" s="29"/>
      <c r="M101" s="29"/>
      <c r="N101" s="29"/>
      <c r="O101" s="29"/>
    </row>
    <row r="102" spans="1:15" x14ac:dyDescent="0.25">
      <c r="A102" s="77"/>
      <c r="B102" s="78"/>
      <c r="C102" s="78"/>
      <c r="D102" s="29"/>
      <c r="E102" s="77"/>
      <c r="F102" s="78"/>
      <c r="G102" s="78"/>
      <c r="H102" s="29"/>
      <c r="I102" s="79"/>
      <c r="J102" s="78"/>
      <c r="K102" s="29"/>
      <c r="L102" s="29"/>
      <c r="M102" s="29"/>
      <c r="N102" s="29"/>
      <c r="O102" s="29"/>
    </row>
    <row r="103" spans="1:15" x14ac:dyDescent="0.25">
      <c r="A103" s="77"/>
      <c r="B103" s="78"/>
      <c r="C103" s="78"/>
      <c r="D103" s="29"/>
      <c r="E103" s="77"/>
      <c r="F103" s="78"/>
      <c r="G103" s="78"/>
      <c r="H103" s="29"/>
      <c r="I103" s="79"/>
      <c r="J103" s="78"/>
      <c r="K103" s="29"/>
      <c r="L103" s="29"/>
      <c r="M103" s="29"/>
      <c r="N103" s="29"/>
      <c r="O103" s="29"/>
    </row>
    <row r="104" spans="1:15" x14ac:dyDescent="0.25">
      <c r="A104" s="77"/>
      <c r="B104" s="78"/>
      <c r="C104" s="78"/>
      <c r="D104" s="29"/>
      <c r="E104" s="77"/>
      <c r="F104" s="78"/>
      <c r="G104" s="78"/>
      <c r="H104" s="29"/>
      <c r="I104" s="79"/>
      <c r="J104" s="78"/>
      <c r="K104" s="29"/>
      <c r="L104" s="29"/>
      <c r="M104" s="29"/>
      <c r="N104" s="29"/>
      <c r="O104" s="29"/>
    </row>
    <row r="105" spans="1:15" x14ac:dyDescent="0.25">
      <c r="A105" s="77"/>
      <c r="B105" s="78"/>
      <c r="C105" s="78"/>
      <c r="D105" s="29"/>
      <c r="E105" s="77"/>
      <c r="F105" s="78"/>
      <c r="G105" s="78"/>
      <c r="H105" s="29"/>
      <c r="I105" s="79"/>
      <c r="J105" s="78"/>
      <c r="K105" s="29"/>
      <c r="L105" s="29"/>
      <c r="M105" s="29"/>
      <c r="N105" s="29"/>
      <c r="O105" s="29"/>
    </row>
    <row r="106" spans="1:15" x14ac:dyDescent="0.25">
      <c r="A106" s="77"/>
      <c r="B106" s="78"/>
      <c r="C106" s="78"/>
      <c r="D106" s="29"/>
      <c r="E106" s="77"/>
      <c r="F106" s="78"/>
      <c r="G106" s="78"/>
      <c r="H106" s="29"/>
      <c r="I106" s="79"/>
      <c r="J106" s="78"/>
      <c r="K106" s="29"/>
      <c r="L106" s="29"/>
      <c r="M106" s="29"/>
      <c r="N106" s="29"/>
      <c r="O106" s="29"/>
    </row>
    <row r="107" spans="1:15" x14ac:dyDescent="0.25">
      <c r="A107" s="77"/>
      <c r="B107" s="78"/>
      <c r="C107" s="78"/>
      <c r="D107" s="29"/>
      <c r="E107" s="77"/>
      <c r="F107" s="78"/>
      <c r="G107" s="78"/>
      <c r="H107" s="29"/>
      <c r="I107" s="79"/>
      <c r="J107" s="78"/>
      <c r="K107" s="29"/>
      <c r="L107" s="29"/>
      <c r="M107" s="29"/>
      <c r="N107" s="29"/>
      <c r="O107" s="29"/>
    </row>
    <row r="108" spans="1:15" x14ac:dyDescent="0.25">
      <c r="A108" s="77"/>
      <c r="B108" s="78"/>
      <c r="C108" s="78"/>
      <c r="D108" s="29"/>
      <c r="E108" s="77"/>
      <c r="F108" s="78"/>
      <c r="G108" s="78"/>
      <c r="H108" s="29"/>
      <c r="I108" s="79"/>
      <c r="J108" s="78"/>
      <c r="K108" s="29"/>
      <c r="L108" s="29"/>
      <c r="M108" s="29"/>
      <c r="N108" s="29"/>
      <c r="O108" s="29"/>
    </row>
    <row r="109" spans="1:15" x14ac:dyDescent="0.25">
      <c r="A109" s="77"/>
      <c r="B109" s="78"/>
      <c r="C109" s="78"/>
      <c r="D109" s="29"/>
      <c r="E109" s="77"/>
      <c r="F109" s="78"/>
      <c r="G109" s="78"/>
      <c r="H109" s="29"/>
      <c r="I109" s="79"/>
      <c r="J109" s="78"/>
      <c r="K109" s="29"/>
      <c r="L109" s="29"/>
      <c r="M109" s="29"/>
      <c r="N109" s="29"/>
      <c r="O109" s="29"/>
    </row>
    <row r="110" spans="1:15" x14ac:dyDescent="0.25">
      <c r="A110" s="77"/>
      <c r="B110" s="78"/>
      <c r="C110" s="78"/>
      <c r="D110" s="29"/>
      <c r="E110" s="77"/>
      <c r="F110" s="78"/>
      <c r="G110" s="78"/>
      <c r="H110" s="29"/>
      <c r="I110" s="79"/>
      <c r="J110" s="78"/>
      <c r="K110" s="29"/>
      <c r="L110" s="29"/>
      <c r="M110" s="29"/>
      <c r="N110" s="29"/>
      <c r="O110" s="29"/>
    </row>
    <row r="111" spans="1:15" x14ac:dyDescent="0.25">
      <c r="A111" s="29"/>
      <c r="B111" s="29"/>
      <c r="C111" s="29"/>
      <c r="D111" s="29"/>
      <c r="E111" s="77"/>
      <c r="F111" s="78"/>
      <c r="G111" s="78"/>
      <c r="H111" s="29"/>
      <c r="I111" s="79"/>
      <c r="J111" s="78"/>
      <c r="K111" s="29"/>
      <c r="L111" s="29"/>
      <c r="M111" s="29"/>
      <c r="N111" s="29"/>
      <c r="O111" s="29"/>
    </row>
    <row r="112" spans="1:15" x14ac:dyDescent="0.25">
      <c r="A112" s="29"/>
      <c r="B112" s="29"/>
      <c r="C112" s="29"/>
      <c r="D112" s="29"/>
      <c r="E112" s="77"/>
      <c r="F112" s="78"/>
      <c r="G112" s="78"/>
      <c r="H112" s="29"/>
      <c r="I112" s="79"/>
      <c r="J112" s="78"/>
      <c r="K112" s="29"/>
      <c r="L112" s="29"/>
      <c r="M112" s="29"/>
      <c r="N112" s="29"/>
      <c r="O112" s="29"/>
    </row>
    <row r="113" spans="1:15" x14ac:dyDescent="0.25">
      <c r="A113" s="29"/>
      <c r="B113" s="29"/>
      <c r="C113" s="29"/>
      <c r="D113" s="29"/>
      <c r="E113" s="77"/>
      <c r="F113" s="78"/>
      <c r="G113" s="78"/>
      <c r="H113" s="29"/>
      <c r="I113" s="79"/>
      <c r="J113" s="78"/>
      <c r="K113" s="29"/>
      <c r="L113" s="29"/>
      <c r="M113" s="29"/>
      <c r="N113" s="29"/>
      <c r="O113" s="29"/>
    </row>
    <row r="114" spans="1:15" x14ac:dyDescent="0.25">
      <c r="A114" s="29"/>
      <c r="B114" s="29"/>
      <c r="C114" s="29"/>
      <c r="D114" s="29"/>
      <c r="E114" s="77"/>
      <c r="F114" s="78"/>
      <c r="G114" s="78"/>
      <c r="H114" s="29"/>
      <c r="I114" s="79"/>
      <c r="J114" s="78"/>
      <c r="K114" s="29"/>
      <c r="L114" s="29"/>
      <c r="M114" s="29"/>
      <c r="N114" s="29"/>
      <c r="O114" s="29"/>
    </row>
    <row r="115" spans="1:15" x14ac:dyDescent="0.25">
      <c r="A115" s="29"/>
      <c r="B115" s="29"/>
      <c r="C115" s="29"/>
      <c r="D115" s="29"/>
      <c r="E115" s="77"/>
      <c r="F115" s="78"/>
      <c r="G115" s="78"/>
      <c r="H115" s="29"/>
      <c r="I115" s="79"/>
      <c r="J115" s="78"/>
      <c r="K115" s="29"/>
      <c r="L115" s="29"/>
      <c r="M115" s="29"/>
      <c r="N115" s="29"/>
      <c r="O115" s="29"/>
    </row>
    <row r="116" spans="1:15" x14ac:dyDescent="0.25">
      <c r="A116" s="29"/>
      <c r="B116" s="29"/>
      <c r="C116" s="29"/>
      <c r="D116" s="29"/>
      <c r="E116" s="77"/>
      <c r="F116" s="78"/>
      <c r="G116" s="78"/>
      <c r="H116" s="29"/>
      <c r="I116" s="79"/>
      <c r="J116" s="78"/>
      <c r="K116" s="29"/>
      <c r="L116" s="29"/>
      <c r="M116" s="29"/>
      <c r="N116" s="29"/>
      <c r="O116" s="29"/>
    </row>
    <row r="117" spans="1:15" x14ac:dyDescent="0.25">
      <c r="A117" s="29"/>
      <c r="B117" s="29"/>
      <c r="C117" s="29"/>
      <c r="D117" s="29"/>
      <c r="E117" s="77"/>
      <c r="F117" s="78"/>
      <c r="G117" s="78"/>
      <c r="H117" s="29"/>
      <c r="I117" s="79"/>
      <c r="J117" s="78"/>
      <c r="K117" s="29"/>
      <c r="L117" s="29"/>
      <c r="M117" s="29"/>
      <c r="N117" s="29"/>
      <c r="O117" s="29"/>
    </row>
    <row r="118" spans="1:15" x14ac:dyDescent="0.25">
      <c r="A118" s="29"/>
      <c r="B118" s="29"/>
      <c r="C118" s="29"/>
      <c r="D118" s="29"/>
      <c r="E118" s="77"/>
      <c r="F118" s="78"/>
      <c r="G118" s="78"/>
      <c r="H118" s="29"/>
      <c r="I118" s="79"/>
      <c r="J118" s="78"/>
      <c r="K118" s="29"/>
      <c r="L118" s="29"/>
      <c r="M118" s="29"/>
      <c r="N118" s="29"/>
      <c r="O118" s="29"/>
    </row>
    <row r="119" spans="1:15" x14ac:dyDescent="0.25">
      <c r="A119" s="29"/>
      <c r="B119" s="29"/>
      <c r="C119" s="29"/>
      <c r="D119" s="29"/>
      <c r="E119" s="77"/>
      <c r="F119" s="78"/>
      <c r="G119" s="78"/>
      <c r="H119" s="29"/>
      <c r="I119" s="79"/>
      <c r="J119" s="78"/>
      <c r="K119" s="29"/>
      <c r="L119" s="29"/>
      <c r="M119" s="29"/>
      <c r="N119" s="29"/>
      <c r="O119" s="29"/>
    </row>
    <row r="120" spans="1:15" x14ac:dyDescent="0.25">
      <c r="A120" s="29"/>
      <c r="B120" s="29"/>
      <c r="C120" s="29"/>
      <c r="D120" s="29"/>
      <c r="E120" s="77"/>
      <c r="F120" s="78"/>
      <c r="G120" s="78"/>
      <c r="H120" s="29"/>
      <c r="I120" s="79"/>
      <c r="J120" s="78"/>
      <c r="K120" s="29"/>
      <c r="L120" s="29"/>
      <c r="M120" s="29"/>
      <c r="N120" s="29"/>
      <c r="O120" s="29"/>
    </row>
    <row r="121" spans="1:15" x14ac:dyDescent="0.25">
      <c r="A121"/>
      <c r="B121"/>
      <c r="C121"/>
    </row>
    <row r="122" spans="1:15" x14ac:dyDescent="0.25">
      <c r="A122"/>
      <c r="B122"/>
      <c r="C122"/>
    </row>
    <row r="123" spans="1:15" x14ac:dyDescent="0.25">
      <c r="A123"/>
      <c r="B123"/>
      <c r="C123"/>
    </row>
    <row r="124" spans="1:15" x14ac:dyDescent="0.25">
      <c r="A124"/>
      <c r="B124"/>
      <c r="C124"/>
    </row>
    <row r="125" spans="1:15" x14ac:dyDescent="0.25">
      <c r="A125"/>
      <c r="B125"/>
      <c r="C125"/>
    </row>
  </sheetData>
  <mergeCells count="7">
    <mergeCell ref="L12:N12"/>
    <mergeCell ref="A1:O1"/>
    <mergeCell ref="A2:O2"/>
    <mergeCell ref="A12:C12"/>
    <mergeCell ref="E12:G12"/>
    <mergeCell ref="I12:J12"/>
    <mergeCell ref="A9:J9"/>
  </mergeCells>
  <dataValidations disablePrompts="1" count="1">
    <dataValidation type="list" allowBlank="1" showInputMessage="1" showErrorMessage="1" sqref="A5" xr:uid="{2EAC0E65-9C01-4181-BCCC-B27FF0C292AF}">
      <formula1>"Dashboard!$A$14:$A$25"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0037-5917-4F28-9BAB-27070F735F45}">
  <sheetPr>
    <tabColor rgb="FF00B050"/>
  </sheetPr>
  <dimension ref="A1:K106"/>
  <sheetViews>
    <sheetView topLeftCell="A21" workbookViewId="0">
      <selection activeCell="B40" sqref="B40"/>
    </sheetView>
  </sheetViews>
  <sheetFormatPr defaultRowHeight="15" x14ac:dyDescent="0.25"/>
  <cols>
    <col min="1" max="1" width="28.5703125" customWidth="1"/>
    <col min="2" max="2" width="36.140625" customWidth="1"/>
    <col min="3" max="3" width="10.28515625" bestFit="1" customWidth="1"/>
    <col min="4" max="4" width="13.7109375" bestFit="1" customWidth="1"/>
    <col min="5" max="5" width="14.5703125" bestFit="1" customWidth="1"/>
    <col min="6" max="6" width="13.7109375" bestFit="1" customWidth="1"/>
    <col min="7" max="7" width="7.140625" bestFit="1" customWidth="1"/>
    <col min="9" max="9" width="10.140625" bestFit="1" customWidth="1"/>
    <col min="10" max="10" width="12.7109375" bestFit="1" customWidth="1"/>
    <col min="11" max="11" width="14.85546875" bestFit="1" customWidth="1"/>
  </cols>
  <sheetData>
    <row r="1" spans="1:11" ht="24" x14ac:dyDescent="0.4">
      <c r="A1" s="202" t="s">
        <v>0</v>
      </c>
      <c r="B1" s="194"/>
      <c r="C1" s="194"/>
      <c r="D1" s="194"/>
      <c r="E1" s="194"/>
      <c r="F1" s="194"/>
      <c r="G1" s="194"/>
      <c r="J1" s="9" t="s">
        <v>25</v>
      </c>
      <c r="K1" s="9" t="s">
        <v>28</v>
      </c>
    </row>
    <row r="2" spans="1:11" x14ac:dyDescent="0.25">
      <c r="A2" s="203" t="s">
        <v>48</v>
      </c>
      <c r="B2" s="194"/>
      <c r="C2" s="194"/>
      <c r="D2" s="194"/>
      <c r="E2" s="194"/>
      <c r="F2" s="194"/>
      <c r="G2" s="194"/>
      <c r="J2" s="8" t="s">
        <v>11</v>
      </c>
      <c r="K2" s="8" t="s">
        <v>10</v>
      </c>
    </row>
    <row r="3" spans="1:11" x14ac:dyDescent="0.25">
      <c r="J3" s="8" t="s">
        <v>12</v>
      </c>
      <c r="K3" s="8" t="s">
        <v>17</v>
      </c>
    </row>
    <row r="4" spans="1:1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47</v>
      </c>
      <c r="G4" s="1" t="s">
        <v>7</v>
      </c>
      <c r="J4" s="8" t="s">
        <v>9</v>
      </c>
      <c r="K4" s="8" t="s">
        <v>29</v>
      </c>
    </row>
    <row r="5" spans="1:11" x14ac:dyDescent="0.25">
      <c r="A5" s="3">
        <v>46247</v>
      </c>
      <c r="B5" t="s">
        <v>291</v>
      </c>
      <c r="C5" s="2">
        <v>11200</v>
      </c>
      <c r="D5" t="s">
        <v>16</v>
      </c>
      <c r="E5" t="s">
        <v>33</v>
      </c>
      <c r="F5" s="4">
        <f>IF(ExpensesTable[[#This Row],[Date]]="","",DATE(YEAR(ExpensesTable[[#This Row],[Date]]),MONTH(ExpensesTable[[#This Row],[Date]]),1))</f>
        <v>46235</v>
      </c>
      <c r="G5" s="150">
        <f>IF(ExpensesTable[[#This Row],[Date]]="","",DAY(ExpensesTable[[#This Row],[Date]]))</f>
        <v>13</v>
      </c>
      <c r="J5" s="8" t="s">
        <v>16</v>
      </c>
      <c r="K5" s="8" t="s">
        <v>30</v>
      </c>
    </row>
    <row r="6" spans="1:11" x14ac:dyDescent="0.25">
      <c r="A6" s="3">
        <v>46247</v>
      </c>
      <c r="B6" t="s">
        <v>264</v>
      </c>
      <c r="C6" s="2">
        <v>500</v>
      </c>
      <c r="D6" t="s">
        <v>24</v>
      </c>
      <c r="E6" t="s">
        <v>256</v>
      </c>
      <c r="F6" s="4">
        <f>IF(ExpensesTable[[#This Row],[Date]]="","",DATE(YEAR(ExpensesTable[[#This Row],[Date]]),MONTH(ExpensesTable[[#This Row],[Date]]),1))</f>
        <v>46235</v>
      </c>
      <c r="G6" s="150">
        <f>IF(ExpensesTable[[#This Row],[Date]]="","",DAY(ExpensesTable[[#This Row],[Date]]))</f>
        <v>13</v>
      </c>
      <c r="J6" s="8" t="s">
        <v>19</v>
      </c>
      <c r="K6" s="8" t="s">
        <v>13</v>
      </c>
    </row>
    <row r="7" spans="1:11" x14ac:dyDescent="0.25">
      <c r="A7" s="3">
        <v>46247</v>
      </c>
      <c r="B7" t="s">
        <v>264</v>
      </c>
      <c r="C7" s="2">
        <v>7500</v>
      </c>
      <c r="D7" t="s">
        <v>24</v>
      </c>
      <c r="E7" t="s">
        <v>256</v>
      </c>
      <c r="F7" s="4">
        <f>IF(ExpensesTable[[#This Row],[Date]]="","",DATE(YEAR(ExpensesTable[[#This Row],[Date]]),MONTH(ExpensesTable[[#This Row],[Date]]),1))</f>
        <v>46235</v>
      </c>
      <c r="G7" s="150">
        <f>IF(ExpensesTable[[#This Row],[Date]]="","",DAY(ExpensesTable[[#This Row],[Date]]))</f>
        <v>13</v>
      </c>
      <c r="J7" s="8" t="s">
        <v>21</v>
      </c>
      <c r="K7" s="8" t="s">
        <v>31</v>
      </c>
    </row>
    <row r="8" spans="1:11" x14ac:dyDescent="0.25">
      <c r="A8" s="3">
        <v>46247</v>
      </c>
      <c r="B8" t="s">
        <v>367</v>
      </c>
      <c r="C8" s="2">
        <v>2400</v>
      </c>
      <c r="D8" t="s">
        <v>24</v>
      </c>
      <c r="E8" t="s">
        <v>39</v>
      </c>
      <c r="F8" s="4">
        <f>IF(ExpensesTable[[#This Row],[Date]]="","",DATE(YEAR(ExpensesTable[[#This Row],[Date]]),MONTH(ExpensesTable[[#This Row],[Date]]),1))</f>
        <v>46235</v>
      </c>
      <c r="G8" s="150">
        <f>IF(ExpensesTable[[#This Row],[Date]]="","",DAY(ExpensesTable[[#This Row],[Date]]))</f>
        <v>13</v>
      </c>
      <c r="J8" s="8" t="s">
        <v>24</v>
      </c>
      <c r="K8" s="8" t="s">
        <v>8</v>
      </c>
    </row>
    <row r="9" spans="1:11" x14ac:dyDescent="0.25">
      <c r="A9" s="3">
        <v>46248</v>
      </c>
      <c r="B9" t="s">
        <v>368</v>
      </c>
      <c r="C9" s="2">
        <v>1160</v>
      </c>
      <c r="D9" t="s">
        <v>24</v>
      </c>
      <c r="E9" t="s">
        <v>27</v>
      </c>
      <c r="F9" s="4">
        <f>IF(ExpensesTable[[#This Row],[Date]]="","",DATE(YEAR(ExpensesTable[[#This Row],[Date]]),MONTH(ExpensesTable[[#This Row],[Date]]),1))</f>
        <v>46235</v>
      </c>
      <c r="G9" s="150">
        <f>IF(ExpensesTable[[#This Row],[Date]]="","",DAY(ExpensesTable[[#This Row],[Date]]))</f>
        <v>14</v>
      </c>
      <c r="J9" s="8" t="s">
        <v>26</v>
      </c>
      <c r="K9" s="8" t="s">
        <v>32</v>
      </c>
    </row>
    <row r="10" spans="1:11" x14ac:dyDescent="0.25">
      <c r="A10" s="3">
        <v>46248</v>
      </c>
      <c r="B10" t="s">
        <v>250</v>
      </c>
      <c r="C10" s="2">
        <v>100</v>
      </c>
      <c r="D10" t="s">
        <v>24</v>
      </c>
      <c r="E10" t="s">
        <v>37</v>
      </c>
      <c r="F10" s="4">
        <f>IF(ExpensesTable[[#This Row],[Date]]="","",DATE(YEAR(ExpensesTable[[#This Row],[Date]]),MONTH(ExpensesTable[[#This Row],[Date]]),1))</f>
        <v>46235</v>
      </c>
      <c r="G10" s="150">
        <f>IF(ExpensesTable[[#This Row],[Date]]="","",DAY(ExpensesTable[[#This Row],[Date]]))</f>
        <v>14</v>
      </c>
      <c r="J10" s="8" t="s">
        <v>27</v>
      </c>
      <c r="K10" s="8" t="s">
        <v>14</v>
      </c>
    </row>
    <row r="11" spans="1:11" x14ac:dyDescent="0.25">
      <c r="A11" s="3">
        <v>46248</v>
      </c>
      <c r="B11" s="182" t="s">
        <v>369</v>
      </c>
      <c r="C11" s="2">
        <v>149</v>
      </c>
      <c r="D11" t="s">
        <v>21</v>
      </c>
      <c r="E11" t="s">
        <v>37</v>
      </c>
      <c r="F11" s="4">
        <f>IF(ExpensesTable[[#This Row],[Date]]="","",DATE(YEAR(ExpensesTable[[#This Row],[Date]]),MONTH(ExpensesTable[[#This Row],[Date]]),1))</f>
        <v>46235</v>
      </c>
      <c r="G11" s="150">
        <f>IF(ExpensesTable[[#This Row],[Date]]="","",DAY(ExpensesTable[[#This Row],[Date]]))</f>
        <v>14</v>
      </c>
      <c r="J11" s="8" t="s">
        <v>63</v>
      </c>
      <c r="K11" s="8" t="s">
        <v>20</v>
      </c>
    </row>
    <row r="12" spans="1:11" x14ac:dyDescent="0.25">
      <c r="A12" s="3">
        <v>46248</v>
      </c>
      <c r="B12" s="182" t="s">
        <v>370</v>
      </c>
      <c r="C12" s="2">
        <v>2332</v>
      </c>
      <c r="D12" t="s">
        <v>16</v>
      </c>
      <c r="E12" t="s">
        <v>10</v>
      </c>
      <c r="F12" s="4">
        <f>IF(ExpensesTable[[#This Row],[Date]]="","",DATE(YEAR(ExpensesTable[[#This Row],[Date]]),MONTH(ExpensesTable[[#This Row],[Date]]),1))</f>
        <v>46235</v>
      </c>
      <c r="G12" s="150">
        <f>IF(ExpensesTable[[#This Row],[Date]]="","",DAY(ExpensesTable[[#This Row],[Date]]))</f>
        <v>14</v>
      </c>
      <c r="K12" s="8" t="s">
        <v>15</v>
      </c>
    </row>
    <row r="13" spans="1:11" x14ac:dyDescent="0.25">
      <c r="A13" s="3">
        <v>46248</v>
      </c>
      <c r="B13" s="182" t="s">
        <v>371</v>
      </c>
      <c r="C13" s="2">
        <v>700</v>
      </c>
      <c r="D13" t="s">
        <v>24</v>
      </c>
      <c r="E13" t="s">
        <v>37</v>
      </c>
      <c r="F13" s="4">
        <f>IF(ExpensesTable[[#This Row],[Date]]="","",DATE(YEAR(ExpensesTable[[#This Row],[Date]]),MONTH(ExpensesTable[[#This Row],[Date]]),1))</f>
        <v>46235</v>
      </c>
      <c r="G13" s="150">
        <f>IF(ExpensesTable[[#This Row],[Date]]="","",DAY(ExpensesTable[[#This Row],[Date]]))</f>
        <v>14</v>
      </c>
      <c r="J13" s="8"/>
      <c r="K13" s="8" t="s">
        <v>33</v>
      </c>
    </row>
    <row r="14" spans="1:11" x14ac:dyDescent="0.25">
      <c r="A14" s="3">
        <v>46250</v>
      </c>
      <c r="B14" t="s">
        <v>58</v>
      </c>
      <c r="C14" s="2">
        <v>561</v>
      </c>
      <c r="D14" t="s">
        <v>63</v>
      </c>
      <c r="E14" t="s">
        <v>11</v>
      </c>
      <c r="F14" s="4">
        <f>IF(ExpensesTable[[#This Row],[Date]]="","",DATE(YEAR(ExpensesTable[[#This Row],[Date]]),MONTH(ExpensesTable[[#This Row],[Date]]),1))</f>
        <v>46235</v>
      </c>
      <c r="G14" s="150">
        <f>IF(ExpensesTable[[#This Row],[Date]]="","",DAY(ExpensesTable[[#This Row],[Date]]))</f>
        <v>16</v>
      </c>
      <c r="J14" s="8"/>
      <c r="K14" s="8" t="s">
        <v>34</v>
      </c>
    </row>
    <row r="15" spans="1:11" x14ac:dyDescent="0.25">
      <c r="A15" s="3">
        <v>46250</v>
      </c>
      <c r="B15" t="s">
        <v>264</v>
      </c>
      <c r="C15" s="2">
        <v>1154</v>
      </c>
      <c r="D15" t="s">
        <v>24</v>
      </c>
      <c r="E15" t="s">
        <v>256</v>
      </c>
      <c r="F15" s="4">
        <f>IF(ExpensesTable[[#This Row],[Date]]="","",DATE(YEAR(ExpensesTable[[#This Row],[Date]]),MONTH(ExpensesTable[[#This Row],[Date]]),1))</f>
        <v>46235</v>
      </c>
      <c r="G15" s="150">
        <f>IF(ExpensesTable[[#This Row],[Date]]="","",DAY(ExpensesTable[[#This Row],[Date]]))</f>
        <v>16</v>
      </c>
      <c r="J15" s="8"/>
      <c r="K15" s="8" t="s">
        <v>18</v>
      </c>
    </row>
    <row r="16" spans="1:11" x14ac:dyDescent="0.25">
      <c r="A16" s="3">
        <v>46250</v>
      </c>
      <c r="B16" t="s">
        <v>304</v>
      </c>
      <c r="C16" s="2">
        <v>4500</v>
      </c>
      <c r="D16" t="s">
        <v>12</v>
      </c>
      <c r="E16" t="s">
        <v>15</v>
      </c>
      <c r="F16" s="4">
        <f>IF(ExpensesTable[[#This Row],[Date]]="","",DATE(YEAR(ExpensesTable[[#This Row],[Date]]),MONTH(ExpensesTable[[#This Row],[Date]]),1))</f>
        <v>46235</v>
      </c>
      <c r="G16" s="150">
        <f>IF(ExpensesTable[[#This Row],[Date]]="","",DAY(ExpensesTable[[#This Row],[Date]]))</f>
        <v>16</v>
      </c>
      <c r="J16" s="8"/>
      <c r="K16" s="8" t="s">
        <v>35</v>
      </c>
    </row>
    <row r="17" spans="1:11" x14ac:dyDescent="0.25">
      <c r="A17" s="3">
        <v>46250</v>
      </c>
      <c r="B17" t="s">
        <v>372</v>
      </c>
      <c r="C17" s="2">
        <v>1150</v>
      </c>
      <c r="D17" t="s">
        <v>12</v>
      </c>
      <c r="E17" t="s">
        <v>34</v>
      </c>
      <c r="F17" s="4">
        <f>IF(ExpensesTable[[#This Row],[Date]]="","",DATE(YEAR(ExpensesTable[[#This Row],[Date]]),MONTH(ExpensesTable[[#This Row],[Date]]),1))</f>
        <v>46235</v>
      </c>
      <c r="G17" s="150">
        <f>IF(ExpensesTable[[#This Row],[Date]]="","",DAY(ExpensesTable[[#This Row],[Date]]))</f>
        <v>16</v>
      </c>
      <c r="J17" s="8"/>
      <c r="K17" s="8" t="s">
        <v>36</v>
      </c>
    </row>
    <row r="18" spans="1:11" x14ac:dyDescent="0.25">
      <c r="A18" s="3">
        <v>46250</v>
      </c>
      <c r="B18" t="s">
        <v>373</v>
      </c>
      <c r="C18" s="2">
        <v>140</v>
      </c>
      <c r="D18" t="s">
        <v>27</v>
      </c>
      <c r="E18" t="s">
        <v>38</v>
      </c>
      <c r="F18" s="4">
        <f>IF(ExpensesTable[[#This Row],[Date]]="","",DATE(YEAR(ExpensesTable[[#This Row],[Date]]),MONTH(ExpensesTable[[#This Row],[Date]]),1))</f>
        <v>46235</v>
      </c>
      <c r="G18" s="150">
        <f>IF(ExpensesTable[[#This Row],[Date]]="","",DAY(ExpensesTable[[#This Row],[Date]]))</f>
        <v>16</v>
      </c>
      <c r="J18" s="8"/>
      <c r="K18" s="8" t="s">
        <v>22</v>
      </c>
    </row>
    <row r="19" spans="1:11" x14ac:dyDescent="0.25">
      <c r="A19" s="3">
        <v>46250</v>
      </c>
      <c r="B19" t="s">
        <v>374</v>
      </c>
      <c r="C19" s="2">
        <v>120</v>
      </c>
      <c r="D19" t="s">
        <v>11</v>
      </c>
      <c r="E19" t="s">
        <v>29</v>
      </c>
      <c r="F19" s="4">
        <f>IF(ExpensesTable[[#This Row],[Date]]="","",DATE(YEAR(ExpensesTable[[#This Row],[Date]]),MONTH(ExpensesTable[[#This Row],[Date]]),1))</f>
        <v>46235</v>
      </c>
      <c r="G19" s="150">
        <f>IF(ExpensesTable[[#This Row],[Date]]="","",DAY(ExpensesTable[[#This Row],[Date]]))</f>
        <v>16</v>
      </c>
      <c r="J19" s="8"/>
      <c r="K19" s="8" t="s">
        <v>37</v>
      </c>
    </row>
    <row r="20" spans="1:11" x14ac:dyDescent="0.25">
      <c r="A20" s="3">
        <v>46251</v>
      </c>
      <c r="B20" s="182" t="s">
        <v>375</v>
      </c>
      <c r="C20" s="2">
        <v>160</v>
      </c>
      <c r="D20" t="s">
        <v>11</v>
      </c>
      <c r="E20" t="s">
        <v>29</v>
      </c>
      <c r="F20" s="4">
        <f>IF(ExpensesTable[[#This Row],[Date]]="","",DATE(YEAR(ExpensesTable[[#This Row],[Date]]),MONTH(ExpensesTable[[#This Row],[Date]]),1))</f>
        <v>46235</v>
      </c>
      <c r="G20" s="150">
        <f>IF(ExpensesTable[[#This Row],[Date]]="","",DAY(ExpensesTable[[#This Row],[Date]]))</f>
        <v>17</v>
      </c>
      <c r="J20" s="8"/>
      <c r="K20" s="8" t="s">
        <v>38</v>
      </c>
    </row>
    <row r="21" spans="1:11" x14ac:dyDescent="0.25">
      <c r="A21" s="3">
        <v>46251</v>
      </c>
      <c r="B21" s="182" t="s">
        <v>376</v>
      </c>
      <c r="C21" s="2">
        <v>768</v>
      </c>
      <c r="D21" t="s">
        <v>12</v>
      </c>
      <c r="E21" t="s">
        <v>27</v>
      </c>
      <c r="F21" s="4">
        <f>IF(ExpensesTable[[#This Row],[Date]]="","",DATE(YEAR(ExpensesTable[[#This Row],[Date]]),MONTH(ExpensesTable[[#This Row],[Date]]),1))</f>
        <v>46235</v>
      </c>
      <c r="G21" s="150">
        <f>IF(ExpensesTable[[#This Row],[Date]]="","",DAY(ExpensesTable[[#This Row],[Date]]))</f>
        <v>17</v>
      </c>
      <c r="J21" s="8"/>
      <c r="K21" s="8" t="s">
        <v>23</v>
      </c>
    </row>
    <row r="22" spans="1:11" x14ac:dyDescent="0.25">
      <c r="A22" s="3">
        <v>46251</v>
      </c>
      <c r="B22" s="182" t="s">
        <v>377</v>
      </c>
      <c r="C22" s="2">
        <v>502</v>
      </c>
      <c r="D22" t="s">
        <v>63</v>
      </c>
      <c r="E22" t="s">
        <v>13</v>
      </c>
      <c r="F22" s="4">
        <f>IF(ExpensesTable[[#This Row],[Date]]="","",DATE(YEAR(ExpensesTable[[#This Row],[Date]]),MONTH(ExpensesTable[[#This Row],[Date]]),1))</f>
        <v>46235</v>
      </c>
      <c r="G22" s="150">
        <f>IF(ExpensesTable[[#This Row],[Date]]="","",DAY(ExpensesTable[[#This Row],[Date]]))</f>
        <v>17</v>
      </c>
      <c r="J22" s="8"/>
      <c r="K22" s="8" t="s">
        <v>39</v>
      </c>
    </row>
    <row r="23" spans="1:11" x14ac:dyDescent="0.25">
      <c r="A23" s="3">
        <v>46251</v>
      </c>
      <c r="B23" s="182" t="s">
        <v>377</v>
      </c>
      <c r="C23" s="2">
        <v>600</v>
      </c>
      <c r="D23" t="s">
        <v>63</v>
      </c>
      <c r="E23" t="s">
        <v>13</v>
      </c>
      <c r="F23" s="4">
        <f>IF(ExpensesTable[[#This Row],[Date]]="","",DATE(YEAR(ExpensesTable[[#This Row],[Date]]),MONTH(ExpensesTable[[#This Row],[Date]]),1))</f>
        <v>46235</v>
      </c>
      <c r="G23" s="150">
        <f>IF(ExpensesTable[[#This Row],[Date]]="","",DAY(ExpensesTable[[#This Row],[Date]]))</f>
        <v>17</v>
      </c>
      <c r="J23" s="8"/>
      <c r="K23" s="8" t="s">
        <v>40</v>
      </c>
    </row>
    <row r="24" spans="1:11" x14ac:dyDescent="0.25">
      <c r="A24" s="3">
        <v>46251</v>
      </c>
      <c r="B24" s="182" t="s">
        <v>378</v>
      </c>
      <c r="C24" s="2">
        <v>229</v>
      </c>
      <c r="D24" t="s">
        <v>21</v>
      </c>
      <c r="E24" t="s">
        <v>37</v>
      </c>
      <c r="F24" s="4">
        <f>IF(ExpensesTable[[#This Row],[Date]]="","",DATE(YEAR(ExpensesTable[[#This Row],[Date]]),MONTH(ExpensesTable[[#This Row],[Date]]),1))</f>
        <v>46235</v>
      </c>
      <c r="G24" s="150">
        <f>IF(ExpensesTable[[#This Row],[Date]]="","",DAY(ExpensesTable[[#This Row],[Date]]))</f>
        <v>17</v>
      </c>
      <c r="J24" s="8"/>
      <c r="K24" s="8" t="s">
        <v>27</v>
      </c>
    </row>
    <row r="25" spans="1:11" x14ac:dyDescent="0.25">
      <c r="A25" s="3">
        <v>46255</v>
      </c>
      <c r="B25" s="182" t="s">
        <v>379</v>
      </c>
      <c r="C25" s="2">
        <v>1227</v>
      </c>
      <c r="D25" t="s">
        <v>12</v>
      </c>
      <c r="E25" t="s">
        <v>38</v>
      </c>
      <c r="F25" s="4">
        <f>IF(ExpensesTable[[#This Row],[Date]]="","",DATE(YEAR(ExpensesTable[[#This Row],[Date]]),MONTH(ExpensesTable[[#This Row],[Date]]),1))</f>
        <v>46235</v>
      </c>
      <c r="G25" s="150">
        <f>IF(ExpensesTable[[#This Row],[Date]]="","",DAY(ExpensesTable[[#This Row],[Date]]))</f>
        <v>21</v>
      </c>
      <c r="J25" s="8"/>
      <c r="K25" s="8" t="s">
        <v>11</v>
      </c>
    </row>
    <row r="26" spans="1:11" x14ac:dyDescent="0.25">
      <c r="A26" s="3">
        <v>46255</v>
      </c>
      <c r="B26" s="182" t="s">
        <v>380</v>
      </c>
      <c r="C26" s="2">
        <v>1549</v>
      </c>
      <c r="D26" t="s">
        <v>12</v>
      </c>
      <c r="E26" t="s">
        <v>31</v>
      </c>
      <c r="F26" s="4">
        <f>IF(ExpensesTable[[#This Row],[Date]]="","",DATE(YEAR(ExpensesTable[[#This Row],[Date]]),MONTH(ExpensesTable[[#This Row],[Date]]),1))</f>
        <v>46235</v>
      </c>
      <c r="G26" s="150">
        <f>IF(ExpensesTable[[#This Row],[Date]]="","",DAY(ExpensesTable[[#This Row],[Date]]))</f>
        <v>21</v>
      </c>
      <c r="J26" s="144"/>
      <c r="K26" s="144" t="s">
        <v>252</v>
      </c>
    </row>
    <row r="27" spans="1:11" x14ac:dyDescent="0.25">
      <c r="A27" s="3">
        <v>46255</v>
      </c>
      <c r="B27" s="182" t="s">
        <v>396</v>
      </c>
      <c r="C27" s="2">
        <v>800</v>
      </c>
      <c r="D27" t="s">
        <v>24</v>
      </c>
      <c r="E27" t="s">
        <v>39</v>
      </c>
      <c r="F27" s="4">
        <f>IF(ExpensesTable[[#This Row],[Date]]="","",DATE(YEAR(ExpensesTable[[#This Row],[Date]]),MONTH(ExpensesTable[[#This Row],[Date]]),1))</f>
        <v>46235</v>
      </c>
      <c r="G27" s="150">
        <f>IF(ExpensesTable[[#This Row],[Date]]="","",DAY(ExpensesTable[[#This Row],[Date]]))</f>
        <v>21</v>
      </c>
      <c r="J27" s="144"/>
      <c r="K27" s="144" t="s">
        <v>256</v>
      </c>
    </row>
    <row r="28" spans="1:11" x14ac:dyDescent="0.25">
      <c r="A28" s="3">
        <v>46255</v>
      </c>
      <c r="B28" s="182" t="s">
        <v>397</v>
      </c>
      <c r="C28" s="2">
        <v>2032</v>
      </c>
      <c r="D28" t="s">
        <v>11</v>
      </c>
      <c r="E28" t="s">
        <v>17</v>
      </c>
      <c r="F28" s="4">
        <f>IF(ExpensesTable[[#This Row],[Date]]="","",DATE(YEAR(ExpensesTable[[#This Row],[Date]]),MONTH(ExpensesTable[[#This Row],[Date]]),1))</f>
        <v>46235</v>
      </c>
      <c r="G28" s="150">
        <f>IF(ExpensesTable[[#This Row],[Date]]="","",DAY(ExpensesTable[[#This Row],[Date]]))</f>
        <v>21</v>
      </c>
      <c r="J28" s="8"/>
      <c r="K28" s="8" t="s">
        <v>260</v>
      </c>
    </row>
    <row r="29" spans="1:11" x14ac:dyDescent="0.25">
      <c r="A29" s="3">
        <v>46255</v>
      </c>
      <c r="B29" s="182" t="s">
        <v>398</v>
      </c>
      <c r="C29" s="2">
        <v>2296</v>
      </c>
      <c r="D29" t="s">
        <v>24</v>
      </c>
      <c r="E29" t="s">
        <v>38</v>
      </c>
      <c r="F29" s="4">
        <f>IF(ExpensesTable[[#This Row],[Date]]="","",DATE(YEAR(ExpensesTable[[#This Row],[Date]]),MONTH(ExpensesTable[[#This Row],[Date]]),1))</f>
        <v>46235</v>
      </c>
      <c r="G29" s="150">
        <f>IF(ExpensesTable[[#This Row],[Date]]="","",DAY(ExpensesTable[[#This Row],[Date]]))</f>
        <v>21</v>
      </c>
    </row>
    <row r="30" spans="1:11" x14ac:dyDescent="0.25">
      <c r="A30" s="3">
        <v>46258</v>
      </c>
      <c r="B30" t="s">
        <v>399</v>
      </c>
      <c r="C30" s="2">
        <v>722</v>
      </c>
      <c r="D30" t="s">
        <v>63</v>
      </c>
      <c r="E30" t="s">
        <v>11</v>
      </c>
      <c r="F30" s="4">
        <f>IF(ExpensesTable[[#This Row],[Date]]="","",DATE(YEAR(ExpensesTable[[#This Row],[Date]]),MONTH(ExpensesTable[[#This Row],[Date]]),1))</f>
        <v>46235</v>
      </c>
      <c r="G30" s="150">
        <f>IF(ExpensesTable[[#This Row],[Date]]="","",DAY(ExpensesTable[[#This Row],[Date]]))</f>
        <v>24</v>
      </c>
      <c r="I30" s="152"/>
    </row>
    <row r="31" spans="1:11" x14ac:dyDescent="0.25">
      <c r="A31" s="3">
        <v>46258</v>
      </c>
      <c r="B31" t="s">
        <v>399</v>
      </c>
      <c r="C31" s="2">
        <v>798</v>
      </c>
      <c r="D31" t="s">
        <v>63</v>
      </c>
      <c r="E31" t="s">
        <v>11</v>
      </c>
      <c r="F31" s="4">
        <f>IF(ExpensesTable[[#This Row],[Date]]="","",DATE(YEAR(ExpensesTable[[#This Row],[Date]]),MONTH(ExpensesTable[[#This Row],[Date]]),1))</f>
        <v>46235</v>
      </c>
      <c r="G31" s="150">
        <f>IF(ExpensesTable[[#This Row],[Date]]="","",DAY(ExpensesTable[[#This Row],[Date]]))</f>
        <v>24</v>
      </c>
    </row>
    <row r="32" spans="1:11" x14ac:dyDescent="0.25">
      <c r="A32" s="3">
        <v>46261</v>
      </c>
      <c r="B32" t="s">
        <v>400</v>
      </c>
      <c r="C32" s="2">
        <v>1698</v>
      </c>
      <c r="D32" t="s">
        <v>9</v>
      </c>
      <c r="E32" t="s">
        <v>14</v>
      </c>
      <c r="F32" s="4">
        <f>IF(ExpensesTable[[#This Row],[Date]]="","",DATE(YEAR(ExpensesTable[[#This Row],[Date]]),MONTH(ExpensesTable[[#This Row],[Date]]),1))</f>
        <v>46235</v>
      </c>
      <c r="G32" s="150">
        <f>IF(ExpensesTable[[#This Row],[Date]]="","",DAY(ExpensesTable[[#This Row],[Date]]))</f>
        <v>27</v>
      </c>
    </row>
    <row r="33" spans="1:7" x14ac:dyDescent="0.25">
      <c r="A33" s="3">
        <v>46262</v>
      </c>
      <c r="B33" t="s">
        <v>401</v>
      </c>
      <c r="C33" s="2">
        <v>5821</v>
      </c>
      <c r="D33" t="s">
        <v>9</v>
      </c>
      <c r="E33" t="s">
        <v>8</v>
      </c>
      <c r="F33" s="4">
        <f>IF(ExpensesTable[[#This Row],[Date]]="","",DATE(YEAR(ExpensesTable[[#This Row],[Date]]),MONTH(ExpensesTable[[#This Row],[Date]]),1))</f>
        <v>46235</v>
      </c>
      <c r="G33" s="150">
        <f>IF(ExpensesTable[[#This Row],[Date]]="","",DAY(ExpensesTable[[#This Row],[Date]]))</f>
        <v>28</v>
      </c>
    </row>
    <row r="34" spans="1:7" x14ac:dyDescent="0.25">
      <c r="A34" s="3">
        <v>46264</v>
      </c>
      <c r="B34" t="s">
        <v>402</v>
      </c>
      <c r="C34" s="2">
        <v>500</v>
      </c>
      <c r="D34" t="s">
        <v>24</v>
      </c>
      <c r="E34" t="s">
        <v>27</v>
      </c>
      <c r="F34" s="4">
        <f>IF(ExpensesTable[[#This Row],[Date]]="","",DATE(YEAR(ExpensesTable[[#This Row],[Date]]),MONTH(ExpensesTable[[#This Row],[Date]]),1))</f>
        <v>46235</v>
      </c>
      <c r="G34" s="150">
        <f>IF(ExpensesTable[[#This Row],[Date]]="","",DAY(ExpensesTable[[#This Row],[Date]]))</f>
        <v>30</v>
      </c>
    </row>
    <row r="35" spans="1:7" x14ac:dyDescent="0.25">
      <c r="A35" s="3">
        <v>46264</v>
      </c>
      <c r="B35" s="191" t="s">
        <v>403</v>
      </c>
      <c r="C35" s="2">
        <v>899</v>
      </c>
      <c r="D35" t="s">
        <v>21</v>
      </c>
      <c r="E35" t="s">
        <v>27</v>
      </c>
      <c r="F35" s="4">
        <f>IF(ExpensesTable[[#This Row],[Date]]="","",DATE(YEAR(ExpensesTable[[#This Row],[Date]]),MONTH(ExpensesTable[[#This Row],[Date]]),1))</f>
        <v>46235</v>
      </c>
      <c r="G35" s="150">
        <f>IF(ExpensesTable[[#This Row],[Date]]="","",DAY(ExpensesTable[[#This Row],[Date]]))</f>
        <v>30</v>
      </c>
    </row>
    <row r="36" spans="1:7" x14ac:dyDescent="0.25">
      <c r="A36" s="3">
        <v>46264</v>
      </c>
      <c r="B36" s="191" t="s">
        <v>404</v>
      </c>
      <c r="C36" s="2">
        <v>883</v>
      </c>
      <c r="D36" t="s">
        <v>63</v>
      </c>
      <c r="E36" t="s">
        <v>11</v>
      </c>
      <c r="F36" s="4">
        <f>IF(ExpensesTable[[#This Row],[Date]]="","",DATE(YEAR(ExpensesTable[[#This Row],[Date]]),MONTH(ExpensesTable[[#This Row],[Date]]),1))</f>
        <v>46235</v>
      </c>
      <c r="G36" s="150">
        <f>IF(ExpensesTable[[#This Row],[Date]]="","",DAY(ExpensesTable[[#This Row],[Date]]))</f>
        <v>30</v>
      </c>
    </row>
    <row r="37" spans="1:7" x14ac:dyDescent="0.25">
      <c r="A37" s="3">
        <v>46264</v>
      </c>
      <c r="B37" s="191" t="s">
        <v>405</v>
      </c>
      <c r="C37" s="2">
        <v>1079</v>
      </c>
      <c r="D37" t="s">
        <v>63</v>
      </c>
      <c r="E37" t="s">
        <v>11</v>
      </c>
      <c r="F37" s="4">
        <f>IF(ExpensesTable[[#This Row],[Date]]="","",DATE(YEAR(ExpensesTable[[#This Row],[Date]]),MONTH(ExpensesTable[[#This Row],[Date]]),1))</f>
        <v>46235</v>
      </c>
      <c r="G37" s="150">
        <f>IF(ExpensesTable[[#This Row],[Date]]="","",DAY(ExpensesTable[[#This Row],[Date]]))</f>
        <v>30</v>
      </c>
    </row>
    <row r="38" spans="1:7" x14ac:dyDescent="0.25">
      <c r="A38" s="3">
        <v>46264</v>
      </c>
      <c r="B38" s="191" t="s">
        <v>406</v>
      </c>
      <c r="C38" s="2">
        <v>95</v>
      </c>
      <c r="D38" t="s">
        <v>24</v>
      </c>
      <c r="E38" t="s">
        <v>29</v>
      </c>
      <c r="F38" s="4">
        <f>IF(ExpensesTable[[#This Row],[Date]]="","",DATE(YEAR(ExpensesTable[[#This Row],[Date]]),MONTH(ExpensesTable[[#This Row],[Date]]),1))</f>
        <v>46235</v>
      </c>
      <c r="G38" s="150">
        <f>IF(ExpensesTable[[#This Row],[Date]]="","",DAY(ExpensesTable[[#This Row],[Date]]))</f>
        <v>30</v>
      </c>
    </row>
    <row r="39" spans="1:7" x14ac:dyDescent="0.25">
      <c r="A39" s="3"/>
      <c r="B39" s="191" t="s">
        <v>367</v>
      </c>
      <c r="C39" s="2">
        <v>2385</v>
      </c>
      <c r="F39" s="4" t="str">
        <f>IF(ExpensesTable[[#This Row],[Date]]="","",DATE(YEAR(ExpensesTable[[#This Row],[Date]]),MONTH(ExpensesTable[[#This Row],[Date]]),1))</f>
        <v/>
      </c>
      <c r="G39" s="150" t="str">
        <f>IF(ExpensesTable[[#This Row],[Date]]="","",DAY(ExpensesTable[[#This Row],[Date]]))</f>
        <v/>
      </c>
    </row>
    <row r="40" spans="1:7" x14ac:dyDescent="0.25">
      <c r="A40" s="3"/>
      <c r="B40" s="191" t="s">
        <v>407</v>
      </c>
      <c r="C40" s="2">
        <v>2600</v>
      </c>
      <c r="F40" s="4" t="str">
        <f>IF(ExpensesTable[[#This Row],[Date]]="","",DATE(YEAR(ExpensesTable[[#This Row],[Date]]),MONTH(ExpensesTable[[#This Row],[Date]]),1))</f>
        <v/>
      </c>
      <c r="G40" s="150" t="str">
        <f>IF(ExpensesTable[[#This Row],[Date]]="","",DAY(ExpensesTable[[#This Row],[Date]]))</f>
        <v/>
      </c>
    </row>
    <row r="41" spans="1:7" x14ac:dyDescent="0.25">
      <c r="A41" s="3"/>
      <c r="C41" s="2"/>
      <c r="F41" s="4" t="str">
        <f>IF(ExpensesTable[[#This Row],[Date]]="","",DATE(YEAR(ExpensesTable[[#This Row],[Date]]),MONTH(ExpensesTable[[#This Row],[Date]]),1))</f>
        <v/>
      </c>
      <c r="G41" s="150" t="str">
        <f>IF(ExpensesTable[[#This Row],[Date]]="","",DAY(ExpensesTable[[#This Row],[Date]]))</f>
        <v/>
      </c>
    </row>
    <row r="42" spans="1:7" x14ac:dyDescent="0.25">
      <c r="A42" s="3"/>
      <c r="C42" s="2"/>
      <c r="F42" s="4" t="str">
        <f>IF(ExpensesTable[[#This Row],[Date]]="","",DATE(YEAR(ExpensesTable[[#This Row],[Date]]),MONTH(ExpensesTable[[#This Row],[Date]]),1))</f>
        <v/>
      </c>
      <c r="G42" s="150" t="str">
        <f>IF(ExpensesTable[[#This Row],[Date]]="","",DAY(ExpensesTable[[#This Row],[Date]]))</f>
        <v/>
      </c>
    </row>
    <row r="43" spans="1:7" x14ac:dyDescent="0.25">
      <c r="A43" s="3"/>
      <c r="C43" s="2"/>
      <c r="F43" s="4" t="str">
        <f>IF(ExpensesTable[[#This Row],[Date]]="","",DATE(YEAR(ExpensesTable[[#This Row],[Date]]),MONTH(ExpensesTable[[#This Row],[Date]]),1))</f>
        <v/>
      </c>
      <c r="G43" s="150" t="str">
        <f>IF(ExpensesTable[[#This Row],[Date]]="","",DAY(ExpensesTable[[#This Row],[Date]]))</f>
        <v/>
      </c>
    </row>
    <row r="44" spans="1:7" x14ac:dyDescent="0.25">
      <c r="A44" s="3"/>
      <c r="C44" s="2"/>
      <c r="F44" s="4" t="str">
        <f>IF(ExpensesTable[[#This Row],[Date]]="","",DATE(YEAR(ExpensesTable[[#This Row],[Date]]),MONTH(ExpensesTable[[#This Row],[Date]]),1))</f>
        <v/>
      </c>
      <c r="G44" s="150" t="str">
        <f>IF(ExpensesTable[[#This Row],[Date]]="","",DAY(ExpensesTable[[#This Row],[Date]]))</f>
        <v/>
      </c>
    </row>
    <row r="45" spans="1:7" x14ac:dyDescent="0.25">
      <c r="A45" s="3"/>
      <c r="C45" s="2"/>
      <c r="F45" s="4" t="str">
        <f>IF(ExpensesTable[[#This Row],[Date]]="","",DATE(YEAR(ExpensesTable[[#This Row],[Date]]),MONTH(ExpensesTable[[#This Row],[Date]]),1))</f>
        <v/>
      </c>
      <c r="G45" s="150" t="str">
        <f>IF(ExpensesTable[[#This Row],[Date]]="","",DAY(ExpensesTable[[#This Row],[Date]]))</f>
        <v/>
      </c>
    </row>
    <row r="46" spans="1:7" x14ac:dyDescent="0.25">
      <c r="A46" s="3"/>
      <c r="C46" s="2"/>
      <c r="F46" s="4" t="str">
        <f>IF(ExpensesTable[[#This Row],[Date]]="","",DATE(YEAR(ExpensesTable[[#This Row],[Date]]),MONTH(ExpensesTable[[#This Row],[Date]]),1))</f>
        <v/>
      </c>
      <c r="G46" s="150" t="str">
        <f>IF(ExpensesTable[[#This Row],[Date]]="","",DAY(ExpensesTable[[#This Row],[Date]]))</f>
        <v/>
      </c>
    </row>
    <row r="47" spans="1:7" x14ac:dyDescent="0.25">
      <c r="A47" s="3"/>
      <c r="C47" s="2"/>
      <c r="F47" s="4" t="str">
        <f>IF(ExpensesTable[[#This Row],[Date]]="","",DATE(YEAR(ExpensesTable[[#This Row],[Date]]),MONTH(ExpensesTable[[#This Row],[Date]]),1))</f>
        <v/>
      </c>
      <c r="G47" s="150" t="str">
        <f>IF(ExpensesTable[[#This Row],[Date]]="","",DAY(ExpensesTable[[#This Row],[Date]]))</f>
        <v/>
      </c>
    </row>
    <row r="48" spans="1:7" x14ac:dyDescent="0.25">
      <c r="A48" s="3"/>
      <c r="C48" s="2"/>
      <c r="F48" s="4" t="str">
        <f>IF(ExpensesTable[[#This Row],[Date]]="","",DATE(YEAR(ExpensesTable[[#This Row],[Date]]),MONTH(ExpensesTable[[#This Row],[Date]]),1))</f>
        <v/>
      </c>
      <c r="G48" s="150" t="str">
        <f>IF(ExpensesTable[[#This Row],[Date]]="","",DAY(ExpensesTable[[#This Row],[Date]]))</f>
        <v/>
      </c>
    </row>
    <row r="49" spans="1:7" x14ac:dyDescent="0.25">
      <c r="A49" s="3"/>
      <c r="C49" s="2"/>
      <c r="F49" s="4" t="str">
        <f>IF(ExpensesTable[[#This Row],[Date]]="","",DATE(YEAR(ExpensesTable[[#This Row],[Date]]),MONTH(ExpensesTable[[#This Row],[Date]]),1))</f>
        <v/>
      </c>
      <c r="G49" s="150" t="str">
        <f>IF(ExpensesTable[[#This Row],[Date]]="","",DAY(ExpensesTable[[#This Row],[Date]]))</f>
        <v/>
      </c>
    </row>
    <row r="50" spans="1:7" x14ac:dyDescent="0.25">
      <c r="A50" s="3"/>
      <c r="C50" s="2"/>
      <c r="F50" s="4" t="str">
        <f>IF(ExpensesTable[[#This Row],[Date]]="","",DATE(YEAR(ExpensesTable[[#This Row],[Date]]),MONTH(ExpensesTable[[#This Row],[Date]]),1))</f>
        <v/>
      </c>
      <c r="G50" s="150" t="str">
        <f>IF(ExpensesTable[[#This Row],[Date]]="","",DAY(ExpensesTable[[#This Row],[Date]]))</f>
        <v/>
      </c>
    </row>
    <row r="51" spans="1:7" x14ac:dyDescent="0.25">
      <c r="A51" s="3"/>
      <c r="C51" s="2"/>
      <c r="F51" s="4" t="str">
        <f>IF(ExpensesTable[[#This Row],[Date]]="","",DATE(YEAR(ExpensesTable[[#This Row],[Date]]),MONTH(ExpensesTable[[#This Row],[Date]]),1))</f>
        <v/>
      </c>
      <c r="G51" s="150" t="str">
        <f>IF(ExpensesTable[[#This Row],[Date]]="","",DAY(ExpensesTable[[#This Row],[Date]]))</f>
        <v/>
      </c>
    </row>
    <row r="52" spans="1:7" x14ac:dyDescent="0.25">
      <c r="A52" s="3"/>
      <c r="C52" s="2"/>
      <c r="F52" s="4" t="str">
        <f>IF(ExpensesTable[[#This Row],[Date]]="","",DATE(YEAR(ExpensesTable[[#This Row],[Date]]),MONTH(ExpensesTable[[#This Row],[Date]]),1))</f>
        <v/>
      </c>
      <c r="G52" s="150" t="str">
        <f>IF(ExpensesTable[[#This Row],[Date]]="","",DAY(ExpensesTable[[#This Row],[Date]]))</f>
        <v/>
      </c>
    </row>
    <row r="53" spans="1:7" x14ac:dyDescent="0.25">
      <c r="A53" s="3"/>
      <c r="C53" s="2"/>
      <c r="F53" s="4" t="str">
        <f>IF(ExpensesTable[[#This Row],[Date]]="","",DATE(YEAR(ExpensesTable[[#This Row],[Date]]),MONTH(ExpensesTable[[#This Row],[Date]]),1))</f>
        <v/>
      </c>
      <c r="G53" s="150" t="str">
        <f>IF(ExpensesTable[[#This Row],[Date]]="","",DAY(ExpensesTable[[#This Row],[Date]]))</f>
        <v/>
      </c>
    </row>
    <row r="54" spans="1:7" x14ac:dyDescent="0.25">
      <c r="A54" s="3"/>
      <c r="C54" s="2"/>
      <c r="F54" s="4" t="str">
        <f>IF(ExpensesTable[[#This Row],[Date]]="","",DATE(YEAR(ExpensesTable[[#This Row],[Date]]),MONTH(ExpensesTable[[#This Row],[Date]]),1))</f>
        <v/>
      </c>
      <c r="G54" s="150" t="str">
        <f>IF(ExpensesTable[[#This Row],[Date]]="","",DAY(ExpensesTable[[#This Row],[Date]]))</f>
        <v/>
      </c>
    </row>
    <row r="55" spans="1:7" x14ac:dyDescent="0.25">
      <c r="A55" s="3"/>
      <c r="C55" s="2"/>
      <c r="F55" s="4" t="str">
        <f>IF(ExpensesTable[[#This Row],[Date]]="","",DATE(YEAR(ExpensesTable[[#This Row],[Date]]),MONTH(ExpensesTable[[#This Row],[Date]]),1))</f>
        <v/>
      </c>
      <c r="G55" s="150" t="str">
        <f>IF(ExpensesTable[[#This Row],[Date]]="","",DAY(ExpensesTable[[#This Row],[Date]]))</f>
        <v/>
      </c>
    </row>
    <row r="56" spans="1:7" x14ac:dyDescent="0.25">
      <c r="A56" s="3"/>
      <c r="C56" s="2"/>
      <c r="F56" s="4" t="str">
        <f>IF(ExpensesTable[[#This Row],[Date]]="","",DATE(YEAR(ExpensesTable[[#This Row],[Date]]),MONTH(ExpensesTable[[#This Row],[Date]]),1))</f>
        <v/>
      </c>
      <c r="G56" s="150" t="str">
        <f>IF(ExpensesTable[[#This Row],[Date]]="","",DAY(ExpensesTable[[#This Row],[Date]]))</f>
        <v/>
      </c>
    </row>
    <row r="57" spans="1:7" x14ac:dyDescent="0.25">
      <c r="A57" s="3"/>
      <c r="C57" s="2"/>
      <c r="F57" s="4" t="str">
        <f>IF(ExpensesTable[[#This Row],[Date]]="","",DATE(YEAR(ExpensesTable[[#This Row],[Date]]),MONTH(ExpensesTable[[#This Row],[Date]]),1))</f>
        <v/>
      </c>
      <c r="G57" s="150" t="str">
        <f>IF(ExpensesTable[[#This Row],[Date]]="","",DAY(ExpensesTable[[#This Row],[Date]]))</f>
        <v/>
      </c>
    </row>
    <row r="58" spans="1:7" x14ac:dyDescent="0.25">
      <c r="A58" s="3"/>
      <c r="C58" s="2"/>
      <c r="F58" s="4" t="str">
        <f>IF(ExpensesTable[[#This Row],[Date]]="","",DATE(YEAR(ExpensesTable[[#This Row],[Date]]),MONTH(ExpensesTable[[#This Row],[Date]]),1))</f>
        <v/>
      </c>
      <c r="G58" s="150" t="str">
        <f>IF(ExpensesTable[[#This Row],[Date]]="","",DAY(ExpensesTable[[#This Row],[Date]]))</f>
        <v/>
      </c>
    </row>
    <row r="59" spans="1:7" x14ac:dyDescent="0.25">
      <c r="A59" s="3"/>
      <c r="C59" s="2"/>
      <c r="F59" s="4" t="str">
        <f>IF(ExpensesTable[[#This Row],[Date]]="","",DATE(YEAR(ExpensesTable[[#This Row],[Date]]),MONTH(ExpensesTable[[#This Row],[Date]]),1))</f>
        <v/>
      </c>
      <c r="G59" s="150" t="str">
        <f>IF(ExpensesTable[[#This Row],[Date]]="","",DAY(ExpensesTable[[#This Row],[Date]]))</f>
        <v/>
      </c>
    </row>
    <row r="60" spans="1:7" x14ac:dyDescent="0.25">
      <c r="A60" s="3"/>
      <c r="C60" s="2"/>
      <c r="F60" s="4" t="str">
        <f>IF(ExpensesTable[[#This Row],[Date]]="","",DATE(YEAR(ExpensesTable[[#This Row],[Date]]),MONTH(ExpensesTable[[#This Row],[Date]]),1))</f>
        <v/>
      </c>
      <c r="G60" s="150" t="str">
        <f>IF(ExpensesTable[[#This Row],[Date]]="","",DAY(ExpensesTable[[#This Row],[Date]]))</f>
        <v/>
      </c>
    </row>
    <row r="61" spans="1:7" x14ac:dyDescent="0.25">
      <c r="A61" s="3"/>
      <c r="C61" s="2"/>
      <c r="F61" s="4" t="str">
        <f>IF(ExpensesTable[[#This Row],[Date]]="","",DATE(YEAR(ExpensesTable[[#This Row],[Date]]),MONTH(ExpensesTable[[#This Row],[Date]]),1))</f>
        <v/>
      </c>
      <c r="G61" s="150" t="str">
        <f>IF(ExpensesTable[[#This Row],[Date]]="","",DAY(ExpensesTable[[#This Row],[Date]]))</f>
        <v/>
      </c>
    </row>
    <row r="62" spans="1:7" x14ac:dyDescent="0.25">
      <c r="A62" s="3"/>
      <c r="C62" s="2"/>
      <c r="F62" s="4" t="str">
        <f>IF(ExpensesTable[[#This Row],[Date]]="","",DATE(YEAR(ExpensesTable[[#This Row],[Date]]),MONTH(ExpensesTable[[#This Row],[Date]]),1))</f>
        <v/>
      </c>
      <c r="G62" s="150" t="str">
        <f>IF(ExpensesTable[[#This Row],[Date]]="","",DAY(ExpensesTable[[#This Row],[Date]]))</f>
        <v/>
      </c>
    </row>
    <row r="63" spans="1:7" x14ac:dyDescent="0.25">
      <c r="A63" s="3"/>
      <c r="C63" s="2"/>
      <c r="F63" s="4" t="str">
        <f>IF(ExpensesTable[[#This Row],[Date]]="","",DATE(YEAR(ExpensesTable[[#This Row],[Date]]),MONTH(ExpensesTable[[#This Row],[Date]]),1))</f>
        <v/>
      </c>
      <c r="G63" s="150" t="str">
        <f>IF(ExpensesTable[[#This Row],[Date]]="","",DAY(ExpensesTable[[#This Row],[Date]]))</f>
        <v/>
      </c>
    </row>
    <row r="64" spans="1:7" x14ac:dyDescent="0.25">
      <c r="A64" s="3"/>
      <c r="C64" s="2"/>
      <c r="F64" s="4" t="str">
        <f>IF(ExpensesTable[[#This Row],[Date]]="","",DATE(YEAR(ExpensesTable[[#This Row],[Date]]),MONTH(ExpensesTable[[#This Row],[Date]]),1))</f>
        <v/>
      </c>
      <c r="G64" s="150" t="str">
        <f>IF(ExpensesTable[[#This Row],[Date]]="","",DAY(ExpensesTable[[#This Row],[Date]]))</f>
        <v/>
      </c>
    </row>
    <row r="65" spans="1:7" x14ac:dyDescent="0.25">
      <c r="A65" s="3"/>
      <c r="C65" s="2"/>
      <c r="F65" s="4" t="str">
        <f>IF(ExpensesTable[[#This Row],[Date]]="","",DATE(YEAR(ExpensesTable[[#This Row],[Date]]),MONTH(ExpensesTable[[#This Row],[Date]]),1))</f>
        <v/>
      </c>
      <c r="G65" s="150" t="str">
        <f>IF(ExpensesTable[[#This Row],[Date]]="","",DAY(ExpensesTable[[#This Row],[Date]]))</f>
        <v/>
      </c>
    </row>
    <row r="66" spans="1:7" x14ac:dyDescent="0.25">
      <c r="A66" s="3"/>
      <c r="C66" s="2"/>
      <c r="F66" s="4" t="str">
        <f>IF(ExpensesTable[[#This Row],[Date]]="","",DATE(YEAR(ExpensesTable[[#This Row],[Date]]),MONTH(ExpensesTable[[#This Row],[Date]]),1))</f>
        <v/>
      </c>
      <c r="G66" s="150" t="str">
        <f>IF(ExpensesTable[[#This Row],[Date]]="","",DAY(ExpensesTable[[#This Row],[Date]]))</f>
        <v/>
      </c>
    </row>
    <row r="67" spans="1:7" x14ac:dyDescent="0.25">
      <c r="A67" s="3"/>
      <c r="C67" s="2"/>
      <c r="F67" s="4" t="str">
        <f>IF(ExpensesTable[[#This Row],[Date]]="","",DATE(YEAR(ExpensesTable[[#This Row],[Date]]),MONTH(ExpensesTable[[#This Row],[Date]]),1))</f>
        <v/>
      </c>
      <c r="G67" s="150" t="str">
        <f>IF(ExpensesTable[[#This Row],[Date]]="","",DAY(ExpensesTable[[#This Row],[Date]]))</f>
        <v/>
      </c>
    </row>
    <row r="68" spans="1:7" x14ac:dyDescent="0.25">
      <c r="A68" s="3"/>
      <c r="C68" s="2"/>
      <c r="F68" s="4" t="str">
        <f>IF(ExpensesTable[[#This Row],[Date]]="","",DATE(YEAR(ExpensesTable[[#This Row],[Date]]),MONTH(ExpensesTable[[#This Row],[Date]]),1))</f>
        <v/>
      </c>
      <c r="G68" s="150" t="str">
        <f>IF(ExpensesTable[[#This Row],[Date]]="","",DAY(ExpensesTable[[#This Row],[Date]]))</f>
        <v/>
      </c>
    </row>
    <row r="69" spans="1:7" x14ac:dyDescent="0.25">
      <c r="A69" s="3"/>
      <c r="C69" s="2"/>
      <c r="F69" s="4" t="str">
        <f>IF(ExpensesTable[[#This Row],[Date]]="","",DATE(YEAR(ExpensesTable[[#This Row],[Date]]),MONTH(ExpensesTable[[#This Row],[Date]]),1))</f>
        <v/>
      </c>
      <c r="G69" s="150" t="str">
        <f>IF(ExpensesTable[[#This Row],[Date]]="","",DAY(ExpensesTable[[#This Row],[Date]]))</f>
        <v/>
      </c>
    </row>
    <row r="70" spans="1:7" x14ac:dyDescent="0.25">
      <c r="A70" s="3"/>
      <c r="C70" s="2"/>
      <c r="F70" s="4" t="str">
        <f>IF(ExpensesTable[[#This Row],[Date]]="","",DATE(YEAR(ExpensesTable[[#This Row],[Date]]),MONTH(ExpensesTable[[#This Row],[Date]]),1))</f>
        <v/>
      </c>
      <c r="G70" s="150" t="str">
        <f>IF(ExpensesTable[[#This Row],[Date]]="","",DAY(ExpensesTable[[#This Row],[Date]]))</f>
        <v/>
      </c>
    </row>
    <row r="71" spans="1:7" x14ac:dyDescent="0.25">
      <c r="A71" s="3"/>
      <c r="C71" s="2"/>
      <c r="F71" s="4" t="str">
        <f>IF(ExpensesTable[[#This Row],[Date]]="","",DATE(YEAR(ExpensesTable[[#This Row],[Date]]),MONTH(ExpensesTable[[#This Row],[Date]]),1))</f>
        <v/>
      </c>
      <c r="G71" s="150" t="str">
        <f>IF(ExpensesTable[[#This Row],[Date]]="","",DAY(ExpensesTable[[#This Row],[Date]]))</f>
        <v/>
      </c>
    </row>
    <row r="72" spans="1:7" x14ac:dyDescent="0.25">
      <c r="A72" s="3"/>
      <c r="C72" s="2"/>
      <c r="F72" s="4" t="str">
        <f>IF(ExpensesTable[[#This Row],[Date]]="","",DATE(YEAR(ExpensesTable[[#This Row],[Date]]),MONTH(ExpensesTable[[#This Row],[Date]]),1))</f>
        <v/>
      </c>
      <c r="G72" s="150" t="str">
        <f>IF(ExpensesTable[[#This Row],[Date]]="","",DAY(ExpensesTable[[#This Row],[Date]]))</f>
        <v/>
      </c>
    </row>
    <row r="73" spans="1:7" x14ac:dyDescent="0.25">
      <c r="A73" s="3"/>
      <c r="C73" s="2"/>
      <c r="F73" s="4" t="str">
        <f>IF(ExpensesTable[[#This Row],[Date]]="","",DATE(YEAR(ExpensesTable[[#This Row],[Date]]),MONTH(ExpensesTable[[#This Row],[Date]]),1))</f>
        <v/>
      </c>
      <c r="G73" s="150" t="str">
        <f>IF(ExpensesTable[[#This Row],[Date]]="","",DAY(ExpensesTable[[#This Row],[Date]]))</f>
        <v/>
      </c>
    </row>
    <row r="74" spans="1:7" x14ac:dyDescent="0.25">
      <c r="A74" s="3"/>
      <c r="C74" s="2"/>
      <c r="F74" s="4" t="str">
        <f>IF(ExpensesTable[[#This Row],[Date]]="","",DATE(YEAR(ExpensesTable[[#This Row],[Date]]),MONTH(ExpensesTable[[#This Row],[Date]]),1))</f>
        <v/>
      </c>
      <c r="G74" s="150" t="str">
        <f>IF(ExpensesTable[[#This Row],[Date]]="","",DAY(ExpensesTable[[#This Row],[Date]]))</f>
        <v/>
      </c>
    </row>
    <row r="75" spans="1:7" x14ac:dyDescent="0.25">
      <c r="A75" s="3"/>
      <c r="C75" s="2"/>
      <c r="F75" s="4" t="str">
        <f>IF(ExpensesTable[[#This Row],[Date]]="","",DATE(YEAR(ExpensesTable[[#This Row],[Date]]),MONTH(ExpensesTable[[#This Row],[Date]]),1))</f>
        <v/>
      </c>
      <c r="G75" s="150" t="str">
        <f>IF(ExpensesTable[[#This Row],[Date]]="","",DAY(ExpensesTable[[#This Row],[Date]]))</f>
        <v/>
      </c>
    </row>
    <row r="76" spans="1:7" x14ac:dyDescent="0.25">
      <c r="A76" s="3"/>
      <c r="C76" s="2"/>
      <c r="F76" s="4" t="str">
        <f>IF(ExpensesTable[[#This Row],[Date]]="","",DATE(YEAR(ExpensesTable[[#This Row],[Date]]),MONTH(ExpensesTable[[#This Row],[Date]]),1))</f>
        <v/>
      </c>
      <c r="G76" s="150" t="str">
        <f>IF(ExpensesTable[[#This Row],[Date]]="","",DAY(ExpensesTable[[#This Row],[Date]]))</f>
        <v/>
      </c>
    </row>
    <row r="77" spans="1:7" x14ac:dyDescent="0.25">
      <c r="A77" s="3"/>
      <c r="C77" s="2"/>
      <c r="F77" s="4" t="str">
        <f>IF(ExpensesTable[[#This Row],[Date]]="","",DATE(YEAR(ExpensesTable[[#This Row],[Date]]),MONTH(ExpensesTable[[#This Row],[Date]]),1))</f>
        <v/>
      </c>
      <c r="G77" s="150" t="str">
        <f>IF(ExpensesTable[[#This Row],[Date]]="","",DAY(ExpensesTable[[#This Row],[Date]]))</f>
        <v/>
      </c>
    </row>
    <row r="78" spans="1:7" x14ac:dyDescent="0.25">
      <c r="A78" s="3"/>
      <c r="C78" s="2"/>
      <c r="F78" s="4" t="str">
        <f>IF(ExpensesTable[[#This Row],[Date]]="","",DATE(YEAR(ExpensesTable[[#This Row],[Date]]),MONTH(ExpensesTable[[#This Row],[Date]]),1))</f>
        <v/>
      </c>
      <c r="G78" s="150" t="str">
        <f>IF(ExpensesTable[[#This Row],[Date]]="","",DAY(ExpensesTable[[#This Row],[Date]]))</f>
        <v/>
      </c>
    </row>
    <row r="79" spans="1:7" x14ac:dyDescent="0.25">
      <c r="A79" s="3"/>
      <c r="C79" s="2"/>
      <c r="F79" s="4" t="str">
        <f>IF(ExpensesTable[[#This Row],[Date]]="","",DATE(YEAR(ExpensesTable[[#This Row],[Date]]),MONTH(ExpensesTable[[#This Row],[Date]]),1))</f>
        <v/>
      </c>
      <c r="G79" s="150" t="str">
        <f>IF(ExpensesTable[[#This Row],[Date]]="","",DAY(ExpensesTable[[#This Row],[Date]]))</f>
        <v/>
      </c>
    </row>
    <row r="80" spans="1:7" x14ac:dyDescent="0.25">
      <c r="A80" s="3"/>
      <c r="C80" s="2"/>
      <c r="F80" s="4" t="str">
        <f>IF(ExpensesTable[[#This Row],[Date]]="","",DATE(YEAR(ExpensesTable[[#This Row],[Date]]),MONTH(ExpensesTable[[#This Row],[Date]]),1))</f>
        <v/>
      </c>
      <c r="G80" s="150" t="str">
        <f>IF(ExpensesTable[[#This Row],[Date]]="","",DAY(ExpensesTable[[#This Row],[Date]]))</f>
        <v/>
      </c>
    </row>
    <row r="81" spans="1:7" x14ac:dyDescent="0.25">
      <c r="A81" s="3"/>
      <c r="C81" s="2"/>
      <c r="F81" s="4" t="str">
        <f>IF(ExpensesTable[[#This Row],[Date]]="","",DATE(YEAR(ExpensesTable[[#This Row],[Date]]),MONTH(ExpensesTable[[#This Row],[Date]]),1))</f>
        <v/>
      </c>
      <c r="G81" s="150" t="str">
        <f>IF(ExpensesTable[[#This Row],[Date]]="","",DAY(ExpensesTable[[#This Row],[Date]]))</f>
        <v/>
      </c>
    </row>
    <row r="82" spans="1:7" x14ac:dyDescent="0.25">
      <c r="A82" s="3"/>
      <c r="C82" s="2"/>
      <c r="F82" s="4" t="str">
        <f>IF(ExpensesTable[[#This Row],[Date]]="","",DATE(YEAR(ExpensesTable[[#This Row],[Date]]),MONTH(ExpensesTable[[#This Row],[Date]]),1))</f>
        <v/>
      </c>
      <c r="G82" s="150" t="str">
        <f>IF(ExpensesTable[[#This Row],[Date]]="","",DAY(ExpensesTable[[#This Row],[Date]]))</f>
        <v/>
      </c>
    </row>
    <row r="83" spans="1:7" x14ac:dyDescent="0.25">
      <c r="A83" s="3"/>
      <c r="C83" s="2"/>
      <c r="F83" s="4" t="str">
        <f>IF(ExpensesTable[[#This Row],[Date]]="","",DATE(YEAR(ExpensesTable[[#This Row],[Date]]),MONTH(ExpensesTable[[#This Row],[Date]]),1))</f>
        <v/>
      </c>
      <c r="G83" s="150" t="str">
        <f>IF(ExpensesTable[[#This Row],[Date]]="","",DAY(ExpensesTable[[#This Row],[Date]]))</f>
        <v/>
      </c>
    </row>
    <row r="84" spans="1:7" x14ac:dyDescent="0.25">
      <c r="A84" s="3"/>
      <c r="C84" s="2"/>
      <c r="F84" s="4" t="str">
        <f>IF(ExpensesTable[[#This Row],[Date]]="","",DATE(YEAR(ExpensesTable[[#This Row],[Date]]),MONTH(ExpensesTable[[#This Row],[Date]]),1))</f>
        <v/>
      </c>
      <c r="G84" s="150" t="str">
        <f>IF(ExpensesTable[[#This Row],[Date]]="","",DAY(ExpensesTable[[#This Row],[Date]]))</f>
        <v/>
      </c>
    </row>
    <row r="85" spans="1:7" x14ac:dyDescent="0.25">
      <c r="A85" s="3"/>
      <c r="C85" s="2"/>
      <c r="F85" s="4" t="str">
        <f>IF(ExpensesTable[[#This Row],[Date]]="","",DATE(YEAR(ExpensesTable[[#This Row],[Date]]),MONTH(ExpensesTable[[#This Row],[Date]]),1))</f>
        <v/>
      </c>
      <c r="G85" s="150" t="str">
        <f>IF(ExpensesTable[[#This Row],[Date]]="","",DAY(ExpensesTable[[#This Row],[Date]]))</f>
        <v/>
      </c>
    </row>
    <row r="86" spans="1:7" x14ac:dyDescent="0.25">
      <c r="A86" s="3"/>
      <c r="C86" s="2"/>
      <c r="F86" s="4" t="str">
        <f>IF(ExpensesTable[[#This Row],[Date]]="","",DATE(YEAR(ExpensesTable[[#This Row],[Date]]),MONTH(ExpensesTable[[#This Row],[Date]]),1))</f>
        <v/>
      </c>
      <c r="G86" s="150" t="str">
        <f>IF(ExpensesTable[[#This Row],[Date]]="","",DAY(ExpensesTable[[#This Row],[Date]]))</f>
        <v/>
      </c>
    </row>
    <row r="87" spans="1:7" x14ac:dyDescent="0.25">
      <c r="A87" s="3"/>
      <c r="C87" s="2"/>
      <c r="F87" s="4" t="str">
        <f>IF(ExpensesTable[[#This Row],[Date]]="","",DATE(YEAR(ExpensesTable[[#This Row],[Date]]),MONTH(ExpensesTable[[#This Row],[Date]]),1))</f>
        <v/>
      </c>
      <c r="G87" s="150" t="str">
        <f>IF(ExpensesTable[[#This Row],[Date]]="","",DAY(ExpensesTable[[#This Row],[Date]]))</f>
        <v/>
      </c>
    </row>
    <row r="88" spans="1:7" x14ac:dyDescent="0.25">
      <c r="A88" s="3"/>
      <c r="C88" s="2"/>
      <c r="F88" s="4" t="str">
        <f>IF(ExpensesTable[[#This Row],[Date]]="","",DATE(YEAR(ExpensesTable[[#This Row],[Date]]),MONTH(ExpensesTable[[#This Row],[Date]]),1))</f>
        <v/>
      </c>
      <c r="G88" s="150" t="str">
        <f>IF(ExpensesTable[[#This Row],[Date]]="","",DAY(ExpensesTable[[#This Row],[Date]]))</f>
        <v/>
      </c>
    </row>
    <row r="89" spans="1:7" x14ac:dyDescent="0.25">
      <c r="A89" s="3"/>
      <c r="C89" s="2"/>
      <c r="F89" s="4" t="str">
        <f>IF(ExpensesTable[[#This Row],[Date]]="","",DATE(YEAR(ExpensesTable[[#This Row],[Date]]),MONTH(ExpensesTable[[#This Row],[Date]]),1))</f>
        <v/>
      </c>
      <c r="G89" s="150" t="str">
        <f>IF(ExpensesTable[[#This Row],[Date]]="","",DAY(ExpensesTable[[#This Row],[Date]]))</f>
        <v/>
      </c>
    </row>
    <row r="90" spans="1:7" x14ac:dyDescent="0.25">
      <c r="A90" s="3"/>
      <c r="C90" s="2"/>
      <c r="F90" s="4" t="str">
        <f>IF(ExpensesTable[[#This Row],[Date]]="","",DATE(YEAR(ExpensesTable[[#This Row],[Date]]),MONTH(ExpensesTable[[#This Row],[Date]]),1))</f>
        <v/>
      </c>
      <c r="G90" s="150" t="str">
        <f>IF(ExpensesTable[[#This Row],[Date]]="","",DAY(ExpensesTable[[#This Row],[Date]]))</f>
        <v/>
      </c>
    </row>
    <row r="91" spans="1:7" x14ac:dyDescent="0.25">
      <c r="A91" s="3"/>
      <c r="C91" s="2"/>
      <c r="F91" s="4" t="str">
        <f>IF(ExpensesTable[[#This Row],[Date]]="","",DATE(YEAR(ExpensesTable[[#This Row],[Date]]),MONTH(ExpensesTable[[#This Row],[Date]]),1))</f>
        <v/>
      </c>
      <c r="G91" s="150" t="str">
        <f>IF(ExpensesTable[[#This Row],[Date]]="","",DAY(ExpensesTable[[#This Row],[Date]]))</f>
        <v/>
      </c>
    </row>
    <row r="92" spans="1:7" x14ac:dyDescent="0.25">
      <c r="A92" s="3"/>
      <c r="C92" s="2"/>
      <c r="F92" s="4" t="str">
        <f>IF(ExpensesTable[[#This Row],[Date]]="","",DATE(YEAR(ExpensesTable[[#This Row],[Date]]),MONTH(ExpensesTable[[#This Row],[Date]]),1))</f>
        <v/>
      </c>
      <c r="G92" s="150" t="str">
        <f>IF(ExpensesTable[[#This Row],[Date]]="","",DAY(ExpensesTable[[#This Row],[Date]]))</f>
        <v/>
      </c>
    </row>
    <row r="93" spans="1:7" x14ac:dyDescent="0.25">
      <c r="A93" s="3"/>
      <c r="C93" s="2"/>
      <c r="F93" s="4" t="str">
        <f>IF(ExpensesTable[[#This Row],[Date]]="","",DATE(YEAR(ExpensesTable[[#This Row],[Date]]),MONTH(ExpensesTable[[#This Row],[Date]]),1))</f>
        <v/>
      </c>
      <c r="G93" s="150" t="str">
        <f>IF(ExpensesTable[[#This Row],[Date]]="","",DAY(ExpensesTable[[#This Row],[Date]]))</f>
        <v/>
      </c>
    </row>
    <row r="94" spans="1:7" x14ac:dyDescent="0.25">
      <c r="A94" s="3"/>
      <c r="C94" s="2"/>
      <c r="F94" s="4" t="str">
        <f>IF(ExpensesTable[[#This Row],[Date]]="","",DATE(YEAR(ExpensesTable[[#This Row],[Date]]),MONTH(ExpensesTable[[#This Row],[Date]]),1))</f>
        <v/>
      </c>
      <c r="G94" s="150" t="str">
        <f>IF(ExpensesTable[[#This Row],[Date]]="","",DAY(ExpensesTable[[#This Row],[Date]]))</f>
        <v/>
      </c>
    </row>
    <row r="95" spans="1:7" x14ac:dyDescent="0.25">
      <c r="A95" s="3"/>
      <c r="C95" s="2"/>
      <c r="F95" s="4" t="str">
        <f>IF(ExpensesTable[[#This Row],[Date]]="","",DATE(YEAR(ExpensesTable[[#This Row],[Date]]),MONTH(ExpensesTable[[#This Row],[Date]]),1))</f>
        <v/>
      </c>
      <c r="G95" s="150" t="str">
        <f>IF(ExpensesTable[[#This Row],[Date]]="","",DAY(ExpensesTable[[#This Row],[Date]]))</f>
        <v/>
      </c>
    </row>
    <row r="96" spans="1:7" x14ac:dyDescent="0.25">
      <c r="A96" s="3"/>
      <c r="C96" s="2"/>
      <c r="F96" s="4" t="str">
        <f>IF(ExpensesTable[[#This Row],[Date]]="","",DATE(YEAR(ExpensesTable[[#This Row],[Date]]),MONTH(ExpensesTable[[#This Row],[Date]]),1))</f>
        <v/>
      </c>
      <c r="G96" s="150" t="str">
        <f>IF(ExpensesTable[[#This Row],[Date]]="","",DAY(ExpensesTable[[#This Row],[Date]]))</f>
        <v/>
      </c>
    </row>
    <row r="97" spans="1:7" x14ac:dyDescent="0.25">
      <c r="A97" s="3"/>
      <c r="C97" s="2"/>
      <c r="F97" s="4" t="str">
        <f>IF(ExpensesTable[[#This Row],[Date]]="","",DATE(YEAR(ExpensesTable[[#This Row],[Date]]),MONTH(ExpensesTable[[#This Row],[Date]]),1))</f>
        <v/>
      </c>
      <c r="G97" s="150" t="str">
        <f>IF(ExpensesTable[[#This Row],[Date]]="","",DAY(ExpensesTable[[#This Row],[Date]]))</f>
        <v/>
      </c>
    </row>
    <row r="98" spans="1:7" x14ac:dyDescent="0.25">
      <c r="A98" s="3"/>
      <c r="C98" s="2"/>
      <c r="F98" s="4" t="str">
        <f>IF(ExpensesTable[[#This Row],[Date]]="","",DATE(YEAR(ExpensesTable[[#This Row],[Date]]),MONTH(ExpensesTable[[#This Row],[Date]]),1))</f>
        <v/>
      </c>
      <c r="G98" s="150" t="str">
        <f>IF(ExpensesTable[[#This Row],[Date]]="","",DAY(ExpensesTable[[#This Row],[Date]]))</f>
        <v/>
      </c>
    </row>
    <row r="99" spans="1:7" x14ac:dyDescent="0.25">
      <c r="A99" s="3"/>
      <c r="C99" s="2"/>
      <c r="F99" s="4" t="str">
        <f>IF(ExpensesTable[[#This Row],[Date]]="","",DATE(YEAR(ExpensesTable[[#This Row],[Date]]),MONTH(ExpensesTable[[#This Row],[Date]]),1))</f>
        <v/>
      </c>
      <c r="G99" s="150" t="str">
        <f>IF(ExpensesTable[[#This Row],[Date]]="","",DAY(ExpensesTable[[#This Row],[Date]]))</f>
        <v/>
      </c>
    </row>
    <row r="100" spans="1:7" x14ac:dyDescent="0.25">
      <c r="A100" s="3"/>
      <c r="C100" s="2"/>
      <c r="F100" s="4" t="str">
        <f>IF(ExpensesTable[[#This Row],[Date]]="","",DATE(YEAR(ExpensesTable[[#This Row],[Date]]),MONTH(ExpensesTable[[#This Row],[Date]]),1))</f>
        <v/>
      </c>
      <c r="G100" s="150" t="str">
        <f>IF(ExpensesTable[[#This Row],[Date]]="","",DAY(ExpensesTable[[#This Row],[Date]]))</f>
        <v/>
      </c>
    </row>
    <row r="101" spans="1:7" x14ac:dyDescent="0.25">
      <c r="A101" s="3"/>
      <c r="C101" s="2"/>
      <c r="F101" s="4" t="str">
        <f>IF(ExpensesTable[[#This Row],[Date]]="","",DATE(YEAR(ExpensesTable[[#This Row],[Date]]),MONTH(ExpensesTable[[#This Row],[Date]]),1))</f>
        <v/>
      </c>
      <c r="G101" s="150" t="str">
        <f>IF(ExpensesTable[[#This Row],[Date]]="","",DAY(ExpensesTable[[#This Row],[Date]]))</f>
        <v/>
      </c>
    </row>
    <row r="102" spans="1:7" x14ac:dyDescent="0.25">
      <c r="A102" s="3"/>
      <c r="C102" s="2"/>
      <c r="F102" s="4" t="str">
        <f>IF(ExpensesTable[[#This Row],[Date]]="","",DATE(YEAR(ExpensesTable[[#This Row],[Date]]),MONTH(ExpensesTable[[#This Row],[Date]]),1))</f>
        <v/>
      </c>
      <c r="G102" s="150" t="str">
        <f>IF(ExpensesTable[[#This Row],[Date]]="","",DAY(ExpensesTable[[#This Row],[Date]]))</f>
        <v/>
      </c>
    </row>
    <row r="103" spans="1:7" x14ac:dyDescent="0.25">
      <c r="A103" s="3"/>
      <c r="C103" s="2"/>
      <c r="F103" s="4" t="str">
        <f>IF(ExpensesTable[[#This Row],[Date]]="","",DATE(YEAR(ExpensesTable[[#This Row],[Date]]),MONTH(ExpensesTable[[#This Row],[Date]]),1))</f>
        <v/>
      </c>
      <c r="G103" s="150" t="str">
        <f>IF(ExpensesTable[[#This Row],[Date]]="","",DAY(ExpensesTable[[#This Row],[Date]]))</f>
        <v/>
      </c>
    </row>
    <row r="104" spans="1:7" x14ac:dyDescent="0.25">
      <c r="A104" s="3"/>
      <c r="C104" s="2"/>
      <c r="F104" s="4" t="str">
        <f>IF(ExpensesTable[[#This Row],[Date]]="","",DATE(YEAR(ExpensesTable[[#This Row],[Date]]),MONTH(ExpensesTable[[#This Row],[Date]]),1))</f>
        <v/>
      </c>
      <c r="G104" s="150" t="str">
        <f>IF(ExpensesTable[[#This Row],[Date]]="","",DAY(ExpensesTable[[#This Row],[Date]]))</f>
        <v/>
      </c>
    </row>
    <row r="106" spans="1:7" x14ac:dyDescent="0.25">
      <c r="A106" s="5" t="s">
        <v>41</v>
      </c>
      <c r="B106" s="6">
        <f>SUM(ExpensesTable[Amount])</f>
        <v>61309</v>
      </c>
    </row>
  </sheetData>
  <mergeCells count="2">
    <mergeCell ref="A1:G1"/>
    <mergeCell ref="A2:G2"/>
  </mergeCells>
  <dataValidations count="3">
    <dataValidation type="list" allowBlank="1" showInputMessage="1" showErrorMessage="1" sqref="D5:D104" xr:uid="{1FD81FD9-4BC2-493C-8932-A92A3AC63C63}">
      <formula1>CategoryList</formula1>
    </dataValidation>
    <dataValidation type="list" allowBlank="1" showInputMessage="1" showErrorMessage="1" sqref="E5:E104" xr:uid="{BEC66911-1270-40F3-8918-0166CBF0F9CE}">
      <formula1>SubcategoryList</formula1>
    </dataValidation>
    <dataValidation type="date" allowBlank="1" showInputMessage="1" showErrorMessage="1" errorTitle="Enter a valid date" error="Choose or enter a date between January 1, 2000 and December 31, 2100." promptTitle="Date" prompt="Select a date from the calendar or type a valid date." sqref="A5:A104" xr:uid="{3741779F-BD28-4D69-97D9-04CFD7BF044F}">
      <formula1>36526</formula1>
      <formula2>73415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AD52-0F98-4B5D-A000-4D7A6FA8DD03}">
  <sheetPr>
    <tabColor rgb="FF00B050"/>
  </sheetPr>
  <dimension ref="A1:K106"/>
  <sheetViews>
    <sheetView workbookViewId="0">
      <selection activeCell="D27" sqref="D27"/>
    </sheetView>
  </sheetViews>
  <sheetFormatPr defaultRowHeight="15" x14ac:dyDescent="0.25"/>
  <cols>
    <col min="1" max="1" width="12.28515625" bestFit="1" customWidth="1"/>
    <col min="2" max="2" width="24.42578125" bestFit="1" customWidth="1"/>
    <col min="3" max="3" width="10.28515625" bestFit="1" customWidth="1"/>
    <col min="4" max="4" width="12.7109375" bestFit="1" customWidth="1"/>
    <col min="5" max="5" width="14.5703125" bestFit="1" customWidth="1"/>
    <col min="6" max="6" width="13.7109375" bestFit="1" customWidth="1"/>
    <col min="7" max="7" width="7.140625" bestFit="1" customWidth="1"/>
    <col min="8" max="9" width="9.140625" bestFit="1" customWidth="1"/>
    <col min="10" max="10" width="12.7109375" bestFit="1" customWidth="1"/>
    <col min="11" max="11" width="14.85546875" bestFit="1" customWidth="1"/>
  </cols>
  <sheetData>
    <row r="1" spans="1:11" ht="24" x14ac:dyDescent="0.4">
      <c r="A1" s="202" t="s">
        <v>285</v>
      </c>
      <c r="B1" s="194"/>
      <c r="C1" s="194"/>
      <c r="D1" s="194"/>
      <c r="E1" s="194"/>
      <c r="F1" s="194"/>
      <c r="G1" s="194"/>
      <c r="J1" s="9" t="s">
        <v>25</v>
      </c>
      <c r="K1" s="9" t="s">
        <v>28</v>
      </c>
    </row>
    <row r="2" spans="1:11" x14ac:dyDescent="0.25">
      <c r="A2" s="203" t="s">
        <v>286</v>
      </c>
      <c r="B2" s="194"/>
      <c r="C2" s="194"/>
      <c r="D2" s="194"/>
      <c r="E2" s="194"/>
      <c r="F2" s="194"/>
      <c r="G2" s="194"/>
      <c r="J2" s="8" t="s">
        <v>11</v>
      </c>
      <c r="K2" s="8" t="s">
        <v>10</v>
      </c>
    </row>
    <row r="3" spans="1:11" x14ac:dyDescent="0.25">
      <c r="J3" s="8" t="s">
        <v>12</v>
      </c>
      <c r="K3" s="8" t="s">
        <v>17</v>
      </c>
    </row>
    <row r="4" spans="1:1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47</v>
      </c>
      <c r="G4" s="1" t="s">
        <v>7</v>
      </c>
      <c r="J4" s="8" t="s">
        <v>9</v>
      </c>
      <c r="K4" s="8" t="s">
        <v>29</v>
      </c>
    </row>
    <row r="5" spans="1:11" x14ac:dyDescent="0.25">
      <c r="A5" s="3">
        <v>46235</v>
      </c>
      <c r="B5" t="s">
        <v>57</v>
      </c>
      <c r="C5" s="2">
        <v>6000</v>
      </c>
      <c r="D5" t="s">
        <v>16</v>
      </c>
      <c r="E5" t="s">
        <v>33</v>
      </c>
      <c r="F5" s="4">
        <f>IF(August2026Expenses[[#This Row],[Date]]="","",DATE(YEAR(August2026Expenses[[#This Row],[Date]]),MONTH(August2026Expenses[[#This Row],[Date]]),1))</f>
        <v>46235</v>
      </c>
      <c r="G5">
        <f>IF(August2026Expenses[[#This Row],[Date]]="","",DAY(August2026Expenses[[#This Row],[Date]]))</f>
        <v>1</v>
      </c>
      <c r="J5" s="8" t="s">
        <v>16</v>
      </c>
      <c r="K5" s="8" t="s">
        <v>30</v>
      </c>
    </row>
    <row r="6" spans="1:11" x14ac:dyDescent="0.25">
      <c r="A6" s="3">
        <v>46236</v>
      </c>
      <c r="B6" t="s">
        <v>58</v>
      </c>
      <c r="C6" s="2">
        <v>754</v>
      </c>
      <c r="D6" t="s">
        <v>63</v>
      </c>
      <c r="E6" t="s">
        <v>11</v>
      </c>
      <c r="F6" s="4">
        <f>IF(August2026Expenses[[#This Row],[Date]]="","",DATE(YEAR(August2026Expenses[[#This Row],[Date]]),MONTH(August2026Expenses[[#This Row],[Date]]),1))</f>
        <v>46235</v>
      </c>
      <c r="G6">
        <f>IF(August2026Expenses[[#This Row],[Date]]="","",DAY(August2026Expenses[[#This Row],[Date]]))</f>
        <v>2</v>
      </c>
      <c r="J6" s="8" t="s">
        <v>19</v>
      </c>
      <c r="K6" s="8" t="s">
        <v>13</v>
      </c>
    </row>
    <row r="7" spans="1:11" x14ac:dyDescent="0.25">
      <c r="A7" s="3">
        <v>46237</v>
      </c>
      <c r="B7" t="s">
        <v>59</v>
      </c>
      <c r="C7" s="2">
        <v>1629</v>
      </c>
      <c r="D7" t="s">
        <v>12</v>
      </c>
      <c r="E7" t="s">
        <v>31</v>
      </c>
      <c r="F7" s="4">
        <f>IF(August2026Expenses[[#This Row],[Date]]="","",DATE(YEAR(August2026Expenses[[#This Row],[Date]]),MONTH(August2026Expenses[[#This Row],[Date]]),1))</f>
        <v>46235</v>
      </c>
      <c r="G7">
        <f>IF(August2026Expenses[[#This Row],[Date]]="","",DAY(August2026Expenses[[#This Row],[Date]]))</f>
        <v>3</v>
      </c>
      <c r="J7" s="8" t="s">
        <v>21</v>
      </c>
      <c r="K7" s="8" t="s">
        <v>31</v>
      </c>
    </row>
    <row r="8" spans="1:11" x14ac:dyDescent="0.25">
      <c r="A8" s="3">
        <v>46237</v>
      </c>
      <c r="B8" t="s">
        <v>60</v>
      </c>
      <c r="C8" s="2">
        <v>353</v>
      </c>
      <c r="D8" t="s">
        <v>16</v>
      </c>
      <c r="E8" t="s">
        <v>10</v>
      </c>
      <c r="F8" s="4">
        <f>IF(August2026Expenses[[#This Row],[Date]]="","",DATE(YEAR(August2026Expenses[[#This Row],[Date]]),MONTH(August2026Expenses[[#This Row],[Date]]),1))</f>
        <v>46235</v>
      </c>
      <c r="G8">
        <f>IF(August2026Expenses[[#This Row],[Date]]="","",DAY(August2026Expenses[[#This Row],[Date]]))</f>
        <v>3</v>
      </c>
      <c r="J8" s="8" t="s">
        <v>24</v>
      </c>
      <c r="K8" s="8" t="s">
        <v>8</v>
      </c>
    </row>
    <row r="9" spans="1:11" x14ac:dyDescent="0.25">
      <c r="A9" s="3">
        <v>46237</v>
      </c>
      <c r="B9" t="s">
        <v>61</v>
      </c>
      <c r="C9" s="2">
        <v>1154</v>
      </c>
      <c r="D9" t="s">
        <v>24</v>
      </c>
      <c r="E9" t="s">
        <v>17</v>
      </c>
      <c r="F9" s="4">
        <f>IF(August2026Expenses[[#This Row],[Date]]="","",DATE(YEAR(August2026Expenses[[#This Row],[Date]]),MONTH(August2026Expenses[[#This Row],[Date]]),1))</f>
        <v>46235</v>
      </c>
      <c r="G9">
        <f>IF(August2026Expenses[[#This Row],[Date]]="","",DAY(August2026Expenses[[#This Row],[Date]]))</f>
        <v>3</v>
      </c>
      <c r="J9" s="8" t="s">
        <v>26</v>
      </c>
      <c r="K9" s="8" t="s">
        <v>32</v>
      </c>
    </row>
    <row r="10" spans="1:11" x14ac:dyDescent="0.25">
      <c r="A10" s="3">
        <v>46237</v>
      </c>
      <c r="B10" t="s">
        <v>62</v>
      </c>
      <c r="C10" s="2">
        <v>754</v>
      </c>
      <c r="D10" t="s">
        <v>16</v>
      </c>
      <c r="E10" t="s">
        <v>10</v>
      </c>
      <c r="F10" s="4">
        <f>IF(August2026Expenses[[#This Row],[Date]]="","",DATE(YEAR(August2026Expenses[[#This Row],[Date]]),MONTH(August2026Expenses[[#This Row],[Date]]),1))</f>
        <v>46235</v>
      </c>
      <c r="G10">
        <f>IF(August2026Expenses[[#This Row],[Date]]="","",DAY(August2026Expenses[[#This Row],[Date]]))</f>
        <v>3</v>
      </c>
      <c r="J10" s="8" t="s">
        <v>27</v>
      </c>
      <c r="K10" s="8" t="s">
        <v>14</v>
      </c>
    </row>
    <row r="11" spans="1:11" x14ac:dyDescent="0.25">
      <c r="A11" s="3">
        <v>46237</v>
      </c>
      <c r="B11" t="s">
        <v>64</v>
      </c>
      <c r="C11" s="2">
        <v>3500</v>
      </c>
      <c r="D11" t="s">
        <v>24</v>
      </c>
      <c r="E11" t="s">
        <v>23</v>
      </c>
      <c r="F11" s="4">
        <f>IF(August2026Expenses[[#This Row],[Date]]="","",DATE(YEAR(August2026Expenses[[#This Row],[Date]]),MONTH(August2026Expenses[[#This Row],[Date]]),1))</f>
        <v>46235</v>
      </c>
      <c r="G11">
        <f>IF(August2026Expenses[[#This Row],[Date]]="","",DAY(August2026Expenses[[#This Row],[Date]]))</f>
        <v>3</v>
      </c>
      <c r="J11" s="8" t="s">
        <v>63</v>
      </c>
      <c r="K11" s="8" t="s">
        <v>20</v>
      </c>
    </row>
    <row r="12" spans="1:11" x14ac:dyDescent="0.25">
      <c r="A12" s="3">
        <v>46237</v>
      </c>
      <c r="B12" t="s">
        <v>10</v>
      </c>
      <c r="C12" s="2">
        <v>2000</v>
      </c>
      <c r="D12" t="s">
        <v>16</v>
      </c>
      <c r="E12" t="s">
        <v>10</v>
      </c>
      <c r="F12" s="4">
        <f>IF(August2026Expenses[[#This Row],[Date]]="","",DATE(YEAR(August2026Expenses[[#This Row],[Date]]),MONTH(August2026Expenses[[#This Row],[Date]]),1))</f>
        <v>46235</v>
      </c>
      <c r="G12">
        <f>IF(August2026Expenses[[#This Row],[Date]]="","",DAY(August2026Expenses[[#This Row],[Date]]))</f>
        <v>3</v>
      </c>
      <c r="K12" s="8" t="s">
        <v>15</v>
      </c>
    </row>
    <row r="13" spans="1:11" x14ac:dyDescent="0.25">
      <c r="A13" s="3">
        <v>46238</v>
      </c>
      <c r="B13" t="s">
        <v>250</v>
      </c>
      <c r="C13" s="2">
        <v>100</v>
      </c>
      <c r="D13" t="s">
        <v>24</v>
      </c>
      <c r="E13" t="s">
        <v>37</v>
      </c>
      <c r="F13" s="4">
        <f>IF(August2026Expenses[[#This Row],[Date]]="","",DATE(YEAR(August2026Expenses[[#This Row],[Date]]),MONTH(August2026Expenses[[#This Row],[Date]]),1))</f>
        <v>46235</v>
      </c>
      <c r="G13">
        <f>IF(August2026Expenses[[#This Row],[Date]]="","",DAY(August2026Expenses[[#This Row],[Date]]))</f>
        <v>4</v>
      </c>
      <c r="J13" s="8"/>
      <c r="K13" s="8" t="s">
        <v>33</v>
      </c>
    </row>
    <row r="14" spans="1:11" x14ac:dyDescent="0.25">
      <c r="A14" s="3">
        <v>46239</v>
      </c>
      <c r="B14" t="s">
        <v>251</v>
      </c>
      <c r="C14" s="2">
        <v>407</v>
      </c>
      <c r="D14" t="s">
        <v>27</v>
      </c>
      <c r="E14" t="s">
        <v>252</v>
      </c>
      <c r="F14" s="4">
        <f>IF(August2026Expenses[[#This Row],[Date]]="","",DATE(YEAR(August2026Expenses[[#This Row],[Date]]),MONTH(August2026Expenses[[#This Row],[Date]]),1))</f>
        <v>46235</v>
      </c>
      <c r="G14">
        <f>IF(August2026Expenses[[#This Row],[Date]]="","",DAY(August2026Expenses[[#This Row],[Date]]))</f>
        <v>5</v>
      </c>
      <c r="J14" s="8"/>
      <c r="K14" s="8" t="s">
        <v>34</v>
      </c>
    </row>
    <row r="15" spans="1:11" x14ac:dyDescent="0.25">
      <c r="A15" s="3">
        <v>46240</v>
      </c>
      <c r="B15" t="s">
        <v>253</v>
      </c>
      <c r="C15" s="2">
        <v>765</v>
      </c>
      <c r="D15" t="s">
        <v>16</v>
      </c>
      <c r="E15" t="s">
        <v>11</v>
      </c>
      <c r="F15" s="4">
        <f>IF(August2026Expenses[[#This Row],[Date]]="","",DATE(YEAR(August2026Expenses[[#This Row],[Date]]),MONTH(August2026Expenses[[#This Row],[Date]]),1))</f>
        <v>46235</v>
      </c>
      <c r="G15">
        <f>IF(August2026Expenses[[#This Row],[Date]]="","",DAY(August2026Expenses[[#This Row],[Date]]))</f>
        <v>6</v>
      </c>
      <c r="J15" s="8"/>
      <c r="K15" s="8" t="s">
        <v>18</v>
      </c>
    </row>
    <row r="16" spans="1:11" x14ac:dyDescent="0.25">
      <c r="A16" s="3">
        <v>46240</v>
      </c>
      <c r="B16" t="s">
        <v>254</v>
      </c>
      <c r="C16" s="2">
        <v>365</v>
      </c>
      <c r="D16" t="s">
        <v>27</v>
      </c>
      <c r="E16" t="s">
        <v>252</v>
      </c>
      <c r="F16" s="4">
        <f>IF(August2026Expenses[[#This Row],[Date]]="","",DATE(YEAR(August2026Expenses[[#This Row],[Date]]),MONTH(August2026Expenses[[#This Row],[Date]]),1))</f>
        <v>46235</v>
      </c>
      <c r="G16">
        <f>IF(August2026Expenses[[#This Row],[Date]]="","",DAY(August2026Expenses[[#This Row],[Date]]))</f>
        <v>6</v>
      </c>
      <c r="J16" s="8"/>
      <c r="K16" s="8" t="s">
        <v>35</v>
      </c>
    </row>
    <row r="17" spans="1:11" x14ac:dyDescent="0.25">
      <c r="A17" s="3">
        <v>46240</v>
      </c>
      <c r="B17" t="s">
        <v>255</v>
      </c>
      <c r="C17" s="2">
        <v>1000</v>
      </c>
      <c r="D17" t="s">
        <v>24</v>
      </c>
      <c r="E17" t="s">
        <v>256</v>
      </c>
      <c r="F17" s="4">
        <f>IF(August2026Expenses[[#This Row],[Date]]="","",DATE(YEAR(August2026Expenses[[#This Row],[Date]]),MONTH(August2026Expenses[[#This Row],[Date]]),1))</f>
        <v>46235</v>
      </c>
      <c r="G17">
        <f>IF(August2026Expenses[[#This Row],[Date]]="","",DAY(August2026Expenses[[#This Row],[Date]]))</f>
        <v>6</v>
      </c>
      <c r="J17" s="8"/>
      <c r="K17" s="8" t="s">
        <v>36</v>
      </c>
    </row>
    <row r="18" spans="1:11" x14ac:dyDescent="0.25">
      <c r="A18" s="3">
        <v>46240</v>
      </c>
      <c r="B18" t="s">
        <v>259</v>
      </c>
      <c r="C18" s="2">
        <v>1350</v>
      </c>
      <c r="D18" t="s">
        <v>16</v>
      </c>
      <c r="E18" t="s">
        <v>260</v>
      </c>
      <c r="F18" s="4">
        <f>IF(August2026Expenses[[#This Row],[Date]]="","",DATE(YEAR(August2026Expenses[[#This Row],[Date]]),MONTH(August2026Expenses[[#This Row],[Date]]),1))</f>
        <v>46235</v>
      </c>
      <c r="G18">
        <f>IF(August2026Expenses[[#This Row],[Date]]="","",DAY(August2026Expenses[[#This Row],[Date]]))</f>
        <v>6</v>
      </c>
      <c r="J18" s="8"/>
      <c r="K18" s="8" t="s">
        <v>22</v>
      </c>
    </row>
    <row r="19" spans="1:11" x14ac:dyDescent="0.25">
      <c r="A19" s="3">
        <v>46240</v>
      </c>
      <c r="B19" t="s">
        <v>250</v>
      </c>
      <c r="C19" s="2">
        <v>150</v>
      </c>
      <c r="D19" t="s">
        <v>24</v>
      </c>
      <c r="E19" t="s">
        <v>37</v>
      </c>
      <c r="F19" s="4">
        <f>IF(August2026Expenses[[#This Row],[Date]]="","",DATE(YEAR(August2026Expenses[[#This Row],[Date]]),MONTH(August2026Expenses[[#This Row],[Date]]),1))</f>
        <v>46235</v>
      </c>
      <c r="G19">
        <f>IF(August2026Expenses[[#This Row],[Date]]="","",DAY(August2026Expenses[[#This Row],[Date]]))</f>
        <v>6</v>
      </c>
      <c r="J19" s="8"/>
      <c r="K19" s="8" t="s">
        <v>37</v>
      </c>
    </row>
    <row r="20" spans="1:11" x14ac:dyDescent="0.25">
      <c r="A20" s="3">
        <v>46241</v>
      </c>
      <c r="B20" t="s">
        <v>262</v>
      </c>
      <c r="C20" s="2">
        <v>500</v>
      </c>
      <c r="D20" t="s">
        <v>21</v>
      </c>
      <c r="E20" t="s">
        <v>37</v>
      </c>
      <c r="F20" s="4">
        <f>IF(August2026Expenses[[#This Row],[Date]]="","",DATE(YEAR(August2026Expenses[[#This Row],[Date]]),MONTH(August2026Expenses[[#This Row],[Date]]),1))</f>
        <v>46235</v>
      </c>
      <c r="G20">
        <f>IF(August2026Expenses[[#This Row],[Date]]="","",DAY(August2026Expenses[[#This Row],[Date]]))</f>
        <v>7</v>
      </c>
      <c r="J20" s="8"/>
      <c r="K20" s="8" t="s">
        <v>38</v>
      </c>
    </row>
    <row r="21" spans="1:11" x14ac:dyDescent="0.25">
      <c r="A21" s="3">
        <v>46242</v>
      </c>
      <c r="B21" t="s">
        <v>250</v>
      </c>
      <c r="C21" s="2">
        <v>120</v>
      </c>
      <c r="D21" t="s">
        <v>24</v>
      </c>
      <c r="E21" t="s">
        <v>37</v>
      </c>
      <c r="F21" s="4">
        <f>IF(August2026Expenses[[#This Row],[Date]]="","",DATE(YEAR(August2026Expenses[[#This Row],[Date]]),MONTH(August2026Expenses[[#This Row],[Date]]),1))</f>
        <v>46235</v>
      </c>
      <c r="G21">
        <f>IF(August2026Expenses[[#This Row],[Date]]="","",DAY(August2026Expenses[[#This Row],[Date]]))</f>
        <v>8</v>
      </c>
      <c r="J21" s="8"/>
      <c r="K21" s="8" t="s">
        <v>23</v>
      </c>
    </row>
    <row r="22" spans="1:11" x14ac:dyDescent="0.25">
      <c r="A22" s="3">
        <v>46242</v>
      </c>
      <c r="B22" t="s">
        <v>263</v>
      </c>
      <c r="C22" s="2">
        <v>1800</v>
      </c>
      <c r="D22" t="s">
        <v>24</v>
      </c>
      <c r="E22" t="s">
        <v>39</v>
      </c>
      <c r="F22" s="4">
        <f>IF(August2026Expenses[[#This Row],[Date]]="","",DATE(YEAR(August2026Expenses[[#This Row],[Date]]),MONTH(August2026Expenses[[#This Row],[Date]]),1))</f>
        <v>46235</v>
      </c>
      <c r="G22">
        <f>IF(August2026Expenses[[#This Row],[Date]]="","",DAY(August2026Expenses[[#This Row],[Date]]))</f>
        <v>8</v>
      </c>
      <c r="J22" s="8"/>
      <c r="K22" s="8" t="s">
        <v>39</v>
      </c>
    </row>
    <row r="23" spans="1:11" x14ac:dyDescent="0.25">
      <c r="A23" s="3">
        <v>46243</v>
      </c>
      <c r="B23" t="s">
        <v>264</v>
      </c>
      <c r="C23" s="2">
        <v>1000</v>
      </c>
      <c r="D23" t="s">
        <v>24</v>
      </c>
      <c r="E23" t="s">
        <v>256</v>
      </c>
      <c r="F23" s="4">
        <f>IF(August2026Expenses[[#This Row],[Date]]="","",DATE(YEAR(August2026Expenses[[#This Row],[Date]]),MONTH(August2026Expenses[[#This Row],[Date]]),1))</f>
        <v>46235</v>
      </c>
      <c r="G23">
        <f>IF(August2026Expenses[[#This Row],[Date]]="","",DAY(August2026Expenses[[#This Row],[Date]]))</f>
        <v>9</v>
      </c>
      <c r="J23" s="8"/>
      <c r="K23" s="8" t="s">
        <v>40</v>
      </c>
    </row>
    <row r="24" spans="1:11" x14ac:dyDescent="0.25">
      <c r="A24" s="3">
        <v>46243</v>
      </c>
      <c r="B24" t="s">
        <v>265</v>
      </c>
      <c r="C24" s="2">
        <v>1000</v>
      </c>
      <c r="D24" t="s">
        <v>21</v>
      </c>
      <c r="E24" t="s">
        <v>22</v>
      </c>
      <c r="F24" s="4">
        <f>IF(August2026Expenses[[#This Row],[Date]]="","",DATE(YEAR(August2026Expenses[[#This Row],[Date]]),MONTH(August2026Expenses[[#This Row],[Date]]),1))</f>
        <v>46235</v>
      </c>
      <c r="G24">
        <f>IF(August2026Expenses[[#This Row],[Date]]="","",DAY(August2026Expenses[[#This Row],[Date]]))</f>
        <v>9</v>
      </c>
      <c r="J24" s="8"/>
      <c r="K24" s="8" t="s">
        <v>27</v>
      </c>
    </row>
    <row r="25" spans="1:11" x14ac:dyDescent="0.25">
      <c r="A25" s="3">
        <v>46243</v>
      </c>
      <c r="B25" t="s">
        <v>266</v>
      </c>
      <c r="C25" s="2">
        <v>1256</v>
      </c>
      <c r="D25" t="s">
        <v>24</v>
      </c>
      <c r="E25" t="s">
        <v>17</v>
      </c>
      <c r="F25" s="4">
        <f>IF(August2026Expenses[[#This Row],[Date]]="","",DATE(YEAR(August2026Expenses[[#This Row],[Date]]),MONTH(August2026Expenses[[#This Row],[Date]]),1))</f>
        <v>46235</v>
      </c>
      <c r="G25">
        <f>IF(August2026Expenses[[#This Row],[Date]]="","",DAY(August2026Expenses[[#This Row],[Date]]))</f>
        <v>9</v>
      </c>
      <c r="J25" s="8"/>
      <c r="K25" s="8" t="s">
        <v>11</v>
      </c>
    </row>
    <row r="26" spans="1:11" x14ac:dyDescent="0.25">
      <c r="A26" s="3">
        <v>46243</v>
      </c>
      <c r="B26" t="s">
        <v>267</v>
      </c>
      <c r="C26" s="2">
        <v>1119</v>
      </c>
      <c r="D26" t="s">
        <v>63</v>
      </c>
      <c r="F26" s="4">
        <f>IF(August2026Expenses[[#This Row],[Date]]="","",DATE(YEAR(August2026Expenses[[#This Row],[Date]]),MONTH(August2026Expenses[[#This Row],[Date]]),1))</f>
        <v>46235</v>
      </c>
      <c r="G26">
        <f>IF(August2026Expenses[[#This Row],[Date]]="","",DAY(August2026Expenses[[#This Row],[Date]]))</f>
        <v>9</v>
      </c>
      <c r="J26" s="144"/>
      <c r="K26" s="144" t="s">
        <v>252</v>
      </c>
    </row>
    <row r="27" spans="1:11" x14ac:dyDescent="0.25">
      <c r="A27" s="3">
        <v>46243</v>
      </c>
      <c r="B27" t="s">
        <v>268</v>
      </c>
      <c r="C27" s="2">
        <v>964</v>
      </c>
      <c r="D27" t="s">
        <v>11</v>
      </c>
      <c r="E27" t="s">
        <v>17</v>
      </c>
      <c r="F27" s="4">
        <f>IF(August2026Expenses[[#This Row],[Date]]="","",DATE(YEAR(August2026Expenses[[#This Row],[Date]]),MONTH(August2026Expenses[[#This Row],[Date]]),1))</f>
        <v>46235</v>
      </c>
      <c r="G27">
        <f>IF(August2026Expenses[[#This Row],[Date]]="","",DAY(August2026Expenses[[#This Row],[Date]]))</f>
        <v>9</v>
      </c>
      <c r="J27" s="144"/>
      <c r="K27" s="144" t="s">
        <v>256</v>
      </c>
    </row>
    <row r="28" spans="1:11" x14ac:dyDescent="0.25">
      <c r="A28" s="3">
        <v>46243</v>
      </c>
      <c r="B28" t="s">
        <v>269</v>
      </c>
      <c r="C28" s="2">
        <v>619</v>
      </c>
      <c r="D28" t="s">
        <v>21</v>
      </c>
      <c r="E28" t="s">
        <v>37</v>
      </c>
      <c r="F28" s="4">
        <f>IF(August2026Expenses[[#This Row],[Date]]="","",DATE(YEAR(August2026Expenses[[#This Row],[Date]]),MONTH(August2026Expenses[[#This Row],[Date]]),1))</f>
        <v>46235</v>
      </c>
      <c r="G28">
        <f>IF(August2026Expenses[[#This Row],[Date]]="","",DAY(August2026Expenses[[#This Row],[Date]]))</f>
        <v>9</v>
      </c>
      <c r="J28" s="8"/>
      <c r="K28" s="8" t="s">
        <v>260</v>
      </c>
    </row>
    <row r="29" spans="1:11" x14ac:dyDescent="0.25">
      <c r="A29" s="3">
        <v>46243</v>
      </c>
      <c r="B29" t="s">
        <v>270</v>
      </c>
      <c r="C29" s="2">
        <v>148</v>
      </c>
      <c r="D29" t="s">
        <v>11</v>
      </c>
      <c r="E29" t="s">
        <v>17</v>
      </c>
      <c r="F29" s="4">
        <f>IF(August2026Expenses[[#This Row],[Date]]="","",DATE(YEAR(August2026Expenses[[#This Row],[Date]]),MONTH(August2026Expenses[[#This Row],[Date]]),1))</f>
        <v>46235</v>
      </c>
      <c r="G29">
        <f>IF(August2026Expenses[[#This Row],[Date]]="","",DAY(August2026Expenses[[#This Row],[Date]]))</f>
        <v>9</v>
      </c>
    </row>
    <row r="30" spans="1:11" x14ac:dyDescent="0.25">
      <c r="A30" s="3">
        <v>46243</v>
      </c>
      <c r="B30" t="s">
        <v>271</v>
      </c>
      <c r="C30" s="2">
        <v>335</v>
      </c>
      <c r="D30" t="s">
        <v>11</v>
      </c>
      <c r="E30" t="s">
        <v>17</v>
      </c>
      <c r="F30" s="4">
        <f>IF(August2026Expenses[[#This Row],[Date]]="","",DATE(YEAR(August2026Expenses[[#This Row],[Date]]),MONTH(August2026Expenses[[#This Row],[Date]]),1))</f>
        <v>46235</v>
      </c>
      <c r="G30">
        <f>IF(August2026Expenses[[#This Row],[Date]]="","",DAY(August2026Expenses[[#This Row],[Date]]))</f>
        <v>9</v>
      </c>
    </row>
    <row r="31" spans="1:11" x14ac:dyDescent="0.25">
      <c r="A31" s="3">
        <v>46243</v>
      </c>
      <c r="B31" t="s">
        <v>267</v>
      </c>
      <c r="C31" s="2">
        <v>540</v>
      </c>
      <c r="D31" t="s">
        <v>63</v>
      </c>
      <c r="E31" t="s">
        <v>11</v>
      </c>
      <c r="F31" s="4">
        <f>IF(August2026Expenses[[#This Row],[Date]]="","",DATE(YEAR(August2026Expenses[[#This Row],[Date]]),MONTH(August2026Expenses[[#This Row],[Date]]),1))</f>
        <v>46235</v>
      </c>
      <c r="G31">
        <f>IF(August2026Expenses[[#This Row],[Date]]="","",DAY(August2026Expenses[[#This Row],[Date]]))</f>
        <v>9</v>
      </c>
    </row>
    <row r="32" spans="1:11" x14ac:dyDescent="0.25">
      <c r="A32" s="3">
        <v>46243</v>
      </c>
      <c r="B32" t="s">
        <v>384</v>
      </c>
      <c r="C32" s="2">
        <v>1111</v>
      </c>
      <c r="D32" t="s">
        <v>24</v>
      </c>
      <c r="E32" t="s">
        <v>37</v>
      </c>
      <c r="F32" s="4">
        <f>IF(August2026Expenses[[#This Row],[Date]]="","",DATE(YEAR(August2026Expenses[[#This Row],[Date]]),MONTH(August2026Expenses[[#This Row],[Date]]),1))</f>
        <v>46235</v>
      </c>
      <c r="G32">
        <f>IF(August2026Expenses[[#This Row],[Date]]="","",DAY(August2026Expenses[[#This Row],[Date]]))</f>
        <v>9</v>
      </c>
    </row>
    <row r="33" spans="1:7" x14ac:dyDescent="0.25">
      <c r="A33" s="3">
        <v>46243</v>
      </c>
      <c r="B33" t="s">
        <v>272</v>
      </c>
      <c r="C33" s="2">
        <v>1991</v>
      </c>
      <c r="D33" t="s">
        <v>12</v>
      </c>
      <c r="E33" t="s">
        <v>31</v>
      </c>
      <c r="F33" s="4">
        <f>IF(August2026Expenses[[#This Row],[Date]]="","",DATE(YEAR(August2026Expenses[[#This Row],[Date]]),MONTH(August2026Expenses[[#This Row],[Date]]),1))</f>
        <v>46235</v>
      </c>
      <c r="G33">
        <f>IF(August2026Expenses[[#This Row],[Date]]="","",DAY(August2026Expenses[[#This Row],[Date]]))</f>
        <v>9</v>
      </c>
    </row>
    <row r="34" spans="1:7" x14ac:dyDescent="0.25">
      <c r="A34" s="3">
        <v>46243</v>
      </c>
      <c r="B34" t="s">
        <v>273</v>
      </c>
      <c r="C34" s="2">
        <v>254</v>
      </c>
      <c r="D34" t="s">
        <v>11</v>
      </c>
      <c r="E34" t="s">
        <v>11</v>
      </c>
      <c r="F34" s="4">
        <f>IF(August2026Expenses[[#This Row],[Date]]="","",DATE(YEAR(August2026Expenses[[#This Row],[Date]]),MONTH(August2026Expenses[[#This Row],[Date]]),1))</f>
        <v>46235</v>
      </c>
      <c r="G34">
        <f>IF(August2026Expenses[[#This Row],[Date]]="","",DAY(August2026Expenses[[#This Row],[Date]]))</f>
        <v>9</v>
      </c>
    </row>
    <row r="35" spans="1:7" x14ac:dyDescent="0.25">
      <c r="A35" s="3">
        <v>46243</v>
      </c>
      <c r="B35" t="s">
        <v>280</v>
      </c>
      <c r="C35" s="2">
        <v>1000</v>
      </c>
      <c r="D35" t="s">
        <v>24</v>
      </c>
      <c r="E35" t="s">
        <v>256</v>
      </c>
      <c r="F35" s="4">
        <f>IF(August2026Expenses[[#This Row],[Date]]="","",DATE(YEAR(August2026Expenses[[#This Row],[Date]]),MONTH(August2026Expenses[[#This Row],[Date]]),1))</f>
        <v>46235</v>
      </c>
      <c r="G35">
        <f>IF(August2026Expenses[[#This Row],[Date]]="","",DAY(August2026Expenses[[#This Row],[Date]]))</f>
        <v>9</v>
      </c>
    </row>
    <row r="36" spans="1:7" x14ac:dyDescent="0.25">
      <c r="A36" s="3">
        <v>46244</v>
      </c>
      <c r="C36" s="2">
        <v>1800</v>
      </c>
      <c r="F36" s="4">
        <f>IF(August2026Expenses[[#This Row],[Date]]="","",DATE(YEAR(August2026Expenses[[#This Row],[Date]]),MONTH(August2026Expenses[[#This Row],[Date]]),1))</f>
        <v>46235</v>
      </c>
      <c r="G36">
        <f>IF(August2026Expenses[[#This Row],[Date]]="","",DAY(August2026Expenses[[#This Row],[Date]]))</f>
        <v>10</v>
      </c>
    </row>
    <row r="37" spans="1:7" x14ac:dyDescent="0.25">
      <c r="A37" s="3">
        <v>46246</v>
      </c>
      <c r="B37" t="s">
        <v>264</v>
      </c>
      <c r="C37" s="2">
        <v>1000</v>
      </c>
      <c r="D37" t="s">
        <v>24</v>
      </c>
      <c r="E37" t="s">
        <v>256</v>
      </c>
      <c r="F37" s="4">
        <f>IF(August2026Expenses[[#This Row],[Date]]="","",DATE(YEAR(August2026Expenses[[#This Row],[Date]]),MONTH(August2026Expenses[[#This Row],[Date]]),1))</f>
        <v>46235</v>
      </c>
      <c r="G37">
        <f>IF(August2026Expenses[[#This Row],[Date]]="","",DAY(August2026Expenses[[#This Row],[Date]]))</f>
        <v>12</v>
      </c>
    </row>
    <row r="38" spans="1:7" x14ac:dyDescent="0.25">
      <c r="A38" s="3">
        <v>46246</v>
      </c>
      <c r="B38" t="s">
        <v>281</v>
      </c>
      <c r="C38" s="2">
        <v>2319</v>
      </c>
      <c r="D38" t="s">
        <v>24</v>
      </c>
      <c r="E38" t="s">
        <v>39</v>
      </c>
      <c r="F38" s="4">
        <f>IF(August2026Expenses[[#This Row],[Date]]="","",DATE(YEAR(August2026Expenses[[#This Row],[Date]]),MONTH(August2026Expenses[[#This Row],[Date]]),1))</f>
        <v>46235</v>
      </c>
      <c r="G38">
        <f>IF(August2026Expenses[[#This Row],[Date]]="","",DAY(August2026Expenses[[#This Row],[Date]]))</f>
        <v>12</v>
      </c>
    </row>
    <row r="39" spans="1:7" x14ac:dyDescent="0.25">
      <c r="A39" s="3">
        <v>46246</v>
      </c>
      <c r="B39" t="s">
        <v>282</v>
      </c>
      <c r="C39" s="2">
        <v>407</v>
      </c>
      <c r="D39" t="s">
        <v>27</v>
      </c>
      <c r="E39" t="s">
        <v>10</v>
      </c>
      <c r="F39" s="4">
        <f>IF(August2026Expenses[[#This Row],[Date]]="","",DATE(YEAR(August2026Expenses[[#This Row],[Date]]),MONTH(August2026Expenses[[#This Row],[Date]]),1))</f>
        <v>46235</v>
      </c>
      <c r="G39">
        <f>IF(August2026Expenses[[#This Row],[Date]]="","",DAY(August2026Expenses[[#This Row],[Date]]))</f>
        <v>12</v>
      </c>
    </row>
    <row r="40" spans="1:7" x14ac:dyDescent="0.25">
      <c r="A40" s="3">
        <v>46246</v>
      </c>
      <c r="B40" t="s">
        <v>283</v>
      </c>
      <c r="C40" s="2">
        <v>71</v>
      </c>
      <c r="D40" t="s">
        <v>27</v>
      </c>
      <c r="E40" t="s">
        <v>10</v>
      </c>
      <c r="F40" s="4">
        <f>IF(August2026Expenses[[#This Row],[Date]]="","",DATE(YEAR(August2026Expenses[[#This Row],[Date]]),MONTH(August2026Expenses[[#This Row],[Date]]),1))</f>
        <v>46235</v>
      </c>
      <c r="G40">
        <f>IF(August2026Expenses[[#This Row],[Date]]="","",DAY(August2026Expenses[[#This Row],[Date]]))</f>
        <v>12</v>
      </c>
    </row>
    <row r="106" spans="1:2" x14ac:dyDescent="0.25">
      <c r="A106" s="5" t="s">
        <v>41</v>
      </c>
      <c r="B106" s="6">
        <f>SUM(August2026Expenses[Amount])</f>
        <v>39635</v>
      </c>
    </row>
  </sheetData>
  <mergeCells count="2">
    <mergeCell ref="A1:G1"/>
    <mergeCell ref="A2:G2"/>
  </mergeCells>
  <dataValidations count="3">
    <dataValidation type="date" allowBlank="1" showInputMessage="1" showErrorMessage="1" errorTitle="Enter a valid date" error="Choose or enter a date between January 1, 2000 and December 31, 2100." promptTitle="Date" prompt="Select a date from the calendar or type a valid date." sqref="A5:A40" xr:uid="{D79D2872-FB73-4C6A-9547-A94E40BFADD1}">
      <formula1>36526</formula1>
      <formula2>73415</formula2>
    </dataValidation>
    <dataValidation type="list" allowBlank="1" showInputMessage="1" showErrorMessage="1" sqref="E5:E40" xr:uid="{3E7BDE0B-DA10-4901-A951-F528307EFE59}">
      <formula1>SubcategoryList</formula1>
    </dataValidation>
    <dataValidation type="list" allowBlank="1" showInputMessage="1" showErrorMessage="1" sqref="D5:D40" xr:uid="{2A7AD5EB-5FB2-4DB2-9B65-0DB43C241525}">
      <formula1>CategoryList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C84B-F233-4A19-927A-E63D3E864021}">
  <dimension ref="A1:J65"/>
  <sheetViews>
    <sheetView showGridLines="0" workbookViewId="0">
      <selection activeCell="B11" sqref="B11"/>
    </sheetView>
  </sheetViews>
  <sheetFormatPr defaultRowHeight="15" x14ac:dyDescent="0.25"/>
  <cols>
    <col min="1" max="5" width="17.5703125" customWidth="1"/>
    <col min="6" max="6" width="3.42578125" customWidth="1"/>
    <col min="7" max="7" width="22.85546875" customWidth="1"/>
    <col min="8" max="9" width="17.5703125" customWidth="1"/>
    <col min="10" max="10" width="5.7109375" customWidth="1"/>
  </cols>
  <sheetData>
    <row r="1" spans="1:10" ht="26.25" x14ac:dyDescent="0.4">
      <c r="A1" s="193" t="s">
        <v>96</v>
      </c>
      <c r="B1" s="194"/>
      <c r="C1" s="194"/>
      <c r="D1" s="194"/>
      <c r="E1" s="194"/>
      <c r="F1" s="194"/>
      <c r="G1" s="194"/>
      <c r="H1" s="194"/>
      <c r="I1" s="194"/>
      <c r="J1" s="194"/>
    </row>
    <row r="2" spans="1:10" x14ac:dyDescent="0.25">
      <c r="A2" s="204" t="s">
        <v>97</v>
      </c>
      <c r="B2" s="194"/>
      <c r="C2" s="194"/>
      <c r="D2" s="194"/>
      <c r="E2" s="194"/>
      <c r="F2" s="194"/>
      <c r="G2" s="194"/>
      <c r="H2" s="194"/>
      <c r="I2" s="194"/>
      <c r="J2" s="194"/>
    </row>
    <row r="3" spans="1:10" ht="15.75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5.75" thickTop="1" x14ac:dyDescent="0.25">
      <c r="A4" s="88" t="s">
        <v>98</v>
      </c>
      <c r="B4" s="89"/>
      <c r="C4" s="88" t="s">
        <v>99</v>
      </c>
      <c r="D4" s="89"/>
      <c r="E4" s="88" t="s">
        <v>100</v>
      </c>
      <c r="F4" s="89"/>
      <c r="G4" s="88" t="s">
        <v>53</v>
      </c>
      <c r="H4" s="89"/>
      <c r="I4" s="88" t="s">
        <v>101</v>
      </c>
      <c r="J4" s="85"/>
    </row>
    <row r="5" spans="1:10" ht="21" x14ac:dyDescent="0.35">
      <c r="A5" s="91">
        <f>B12</f>
        <v>575754</v>
      </c>
      <c r="B5" s="92"/>
      <c r="C5" s="91">
        <f>SUMIFS(SavingsTable[Signed Amount],SavingsTable[Fund],"Emergency Fund")</f>
        <v>144000</v>
      </c>
      <c r="D5" s="90"/>
      <c r="E5" s="93">
        <f>IF(A5=0,0,C5/A5)</f>
        <v>0.25010681645286009</v>
      </c>
      <c r="F5" s="90"/>
      <c r="G5" s="91">
        <f>MAX(A5-C5,0)</f>
        <v>431754</v>
      </c>
      <c r="H5" s="92"/>
      <c r="I5" s="91">
        <f>SUM(SavingsTable[Signed Amount])</f>
        <v>159730</v>
      </c>
      <c r="J5" s="86"/>
    </row>
    <row r="6" spans="1:10" x14ac:dyDescent="0.25">
      <c r="A6" s="83"/>
      <c r="B6" s="13"/>
      <c r="C6" s="83"/>
      <c r="D6" s="13"/>
      <c r="E6" s="83"/>
      <c r="F6" s="13"/>
      <c r="G6" s="83"/>
      <c r="H6" s="13"/>
      <c r="I6" s="83"/>
      <c r="J6" s="86"/>
    </row>
    <row r="7" spans="1:10" x14ac:dyDescent="0.25">
      <c r="A7" s="83"/>
      <c r="B7" s="13"/>
      <c r="C7" s="83"/>
      <c r="D7" s="13"/>
      <c r="E7" s="83"/>
      <c r="F7" s="13"/>
      <c r="G7" s="83"/>
      <c r="H7" s="13"/>
      <c r="I7" s="83"/>
      <c r="J7" s="86"/>
    </row>
    <row r="8" spans="1:10" x14ac:dyDescent="0.25">
      <c r="A8" s="84"/>
      <c r="B8" s="14"/>
      <c r="C8" s="84"/>
      <c r="D8" s="14"/>
      <c r="E8" s="84"/>
      <c r="F8" s="14"/>
      <c r="G8" s="84"/>
      <c r="H8" s="14"/>
      <c r="I8" s="84"/>
      <c r="J8" s="87"/>
    </row>
    <row r="9" spans="1:1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25">
      <c r="A10" s="81" t="s">
        <v>102</v>
      </c>
      <c r="B10" s="82">
        <f>Dashboard!C5</f>
        <v>95959</v>
      </c>
      <c r="C10" s="13"/>
      <c r="D10" s="13"/>
      <c r="E10" s="13"/>
      <c r="F10" s="13"/>
      <c r="G10" s="13"/>
      <c r="H10" s="13"/>
      <c r="I10" s="13"/>
      <c r="J10" s="13"/>
    </row>
    <row r="11" spans="1:10" x14ac:dyDescent="0.25">
      <c r="A11" s="81" t="s">
        <v>103</v>
      </c>
      <c r="B11" s="94">
        <v>6</v>
      </c>
      <c r="C11" s="13"/>
      <c r="D11" s="13"/>
      <c r="E11" s="13"/>
      <c r="F11" s="13"/>
      <c r="G11" s="13"/>
      <c r="H11" s="13"/>
      <c r="I11" s="13"/>
      <c r="J11" s="13"/>
    </row>
    <row r="12" spans="1:10" x14ac:dyDescent="0.25">
      <c r="A12" s="81" t="s">
        <v>104</v>
      </c>
      <c r="B12" s="82">
        <f>B10*B11</f>
        <v>575754</v>
      </c>
      <c r="C12" s="13"/>
      <c r="D12" s="13"/>
      <c r="E12" s="13"/>
      <c r="F12" s="13"/>
      <c r="G12" s="13"/>
      <c r="H12" s="13"/>
      <c r="I12" s="13"/>
      <c r="J12" s="13"/>
    </row>
    <row r="13" spans="1:1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25">
      <c r="A14" s="205" t="s">
        <v>105</v>
      </c>
      <c r="B14" s="205"/>
      <c r="C14" s="205"/>
      <c r="D14" s="205"/>
      <c r="E14" s="205"/>
      <c r="F14" s="13"/>
      <c r="G14" s="205" t="s">
        <v>110</v>
      </c>
      <c r="H14" s="205"/>
      <c r="I14" s="205"/>
      <c r="J14" s="13"/>
    </row>
    <row r="15" spans="1:10" x14ac:dyDescent="0.25">
      <c r="A15" s="23" t="s">
        <v>6</v>
      </c>
      <c r="B15" s="23" t="s">
        <v>106</v>
      </c>
      <c r="C15" s="23" t="s">
        <v>107</v>
      </c>
      <c r="D15" s="23" t="s">
        <v>108</v>
      </c>
      <c r="E15" s="23" t="s">
        <v>109</v>
      </c>
      <c r="F15" s="13"/>
      <c r="G15" s="23" t="s">
        <v>80</v>
      </c>
      <c r="H15" s="23" t="s">
        <v>111</v>
      </c>
      <c r="I15" s="23" t="s">
        <v>112</v>
      </c>
      <c r="J15" s="13"/>
    </row>
    <row r="16" spans="1:10" x14ac:dyDescent="0.25">
      <c r="A16" s="10">
        <v>46023</v>
      </c>
      <c r="B16" s="11">
        <f>SUMIFS(SavingsTable[Amount],SavingsTable[Transaction Type],"Contribution",SavingsTable[Month Start],A16)</f>
        <v>0</v>
      </c>
      <c r="C16" s="11">
        <f>SUMIFS(SavingsTable[Amount],SavingsTable[Transaction Type],"Withdrawal",SavingsTable[Month Start],A16)</f>
        <v>0</v>
      </c>
      <c r="D16" s="11">
        <f t="shared" ref="D16:D27" si="0">B16-C16</f>
        <v>0</v>
      </c>
      <c r="E16" s="11">
        <f>SUM($D$16:D16)</f>
        <v>0</v>
      </c>
      <c r="F16" s="13"/>
      <c r="G16" s="13" t="s">
        <v>40</v>
      </c>
      <c r="H16" s="11">
        <f>SUMIFS(SavingsTable[Signed Amount],SavingsTable[Fund],G16)</f>
        <v>144000</v>
      </c>
      <c r="I16" s="12">
        <f>IF($I$5=0,0,H16/$I$5)</f>
        <v>0.90152131722281348</v>
      </c>
      <c r="J16" s="13"/>
    </row>
    <row r="17" spans="1:10" x14ac:dyDescent="0.25">
      <c r="A17" s="10">
        <v>46054</v>
      </c>
      <c r="B17" s="11">
        <f>SUMIFS(SavingsTable[Amount],SavingsTable[Transaction Type],"Contribution",SavingsTable[Month Start],A17)</f>
        <v>0</v>
      </c>
      <c r="C17" s="11">
        <f>SUMIFS(SavingsTable[Amount],SavingsTable[Transaction Type],"Withdrawal",SavingsTable[Month Start],A17)</f>
        <v>0</v>
      </c>
      <c r="D17" s="11">
        <f t="shared" si="0"/>
        <v>0</v>
      </c>
      <c r="E17" s="11">
        <f>SUM($D$16:D17)</f>
        <v>0</v>
      </c>
      <c r="F17" s="13"/>
      <c r="G17" s="13" t="s">
        <v>86</v>
      </c>
      <c r="H17" s="11">
        <f>SUMIFS(SavingsTable[Signed Amount],SavingsTable[Fund],G17)</f>
        <v>21800</v>
      </c>
      <c r="I17" s="12">
        <f>IF($I$5=0,0,H17/$I$5)</f>
        <v>0.13648031052400927</v>
      </c>
      <c r="J17" s="13"/>
    </row>
    <row r="18" spans="1:10" x14ac:dyDescent="0.25">
      <c r="A18" s="10">
        <v>46082</v>
      </c>
      <c r="B18" s="11">
        <f>SUMIFS(SavingsTable[Amount],SavingsTable[Transaction Type],"Contribution",SavingsTable[Month Start],A18)</f>
        <v>0</v>
      </c>
      <c r="C18" s="11">
        <f>SUMIFS(SavingsTable[Amount],SavingsTable[Transaction Type],"Withdrawal",SavingsTable[Month Start],A18)</f>
        <v>0</v>
      </c>
      <c r="D18" s="11">
        <f t="shared" si="0"/>
        <v>0</v>
      </c>
      <c r="E18" s="11">
        <f>SUM($D$16:D18)</f>
        <v>0</v>
      </c>
      <c r="F18" s="13"/>
      <c r="G18" s="13" t="s">
        <v>87</v>
      </c>
      <c r="H18" s="11">
        <f>SUMIFS(SavingsTable[Signed Amount],SavingsTable[Fund],G18)</f>
        <v>0</v>
      </c>
      <c r="I18" s="12">
        <f>IF($I$5=0,0,H18/$I$5)</f>
        <v>0</v>
      </c>
      <c r="J18" s="13"/>
    </row>
    <row r="19" spans="1:10" x14ac:dyDescent="0.25">
      <c r="A19" s="10">
        <v>46113</v>
      </c>
      <c r="B19" s="11">
        <f>SUMIFS(SavingsTable[Amount],SavingsTable[Transaction Type],"Contribution",SavingsTable[Month Start],A19)</f>
        <v>0</v>
      </c>
      <c r="C19" s="11">
        <f>SUMIFS(SavingsTable[Amount],SavingsTable[Transaction Type],"Withdrawal",SavingsTable[Month Start],A19)</f>
        <v>0</v>
      </c>
      <c r="D19" s="11">
        <f t="shared" si="0"/>
        <v>0</v>
      </c>
      <c r="E19" s="11">
        <f>SUM($D$16:D19)</f>
        <v>0</v>
      </c>
      <c r="F19" s="13"/>
      <c r="G19" s="13" t="s">
        <v>88</v>
      </c>
      <c r="H19" s="11">
        <f>SUMIFS(SavingsTable[Signed Amount],SavingsTable[Fund],G19)</f>
        <v>-6070</v>
      </c>
      <c r="I19" s="12">
        <f>IF($I$5=0,0,H19/$I$5)</f>
        <v>-3.8001627746822766E-2</v>
      </c>
      <c r="J19" s="13"/>
    </row>
    <row r="20" spans="1:10" x14ac:dyDescent="0.25">
      <c r="A20" s="10">
        <v>46143</v>
      </c>
      <c r="B20" s="11">
        <f>SUMIFS(SavingsTable[Amount],SavingsTable[Transaction Type],"Contribution",SavingsTable[Month Start],A20)</f>
        <v>0</v>
      </c>
      <c r="C20" s="11">
        <f>SUMIFS(SavingsTable[Amount],SavingsTable[Transaction Type],"Withdrawal",SavingsTable[Month Start],A20)</f>
        <v>0</v>
      </c>
      <c r="D20" s="11">
        <f t="shared" si="0"/>
        <v>0</v>
      </c>
      <c r="E20" s="11">
        <f>SUM($D$16:D20)</f>
        <v>0</v>
      </c>
      <c r="F20" s="13"/>
      <c r="G20" s="13" t="s">
        <v>27</v>
      </c>
      <c r="H20" s="11">
        <f>SUMIFS(SavingsTable[Signed Amount],SavingsTable[Fund],G20)</f>
        <v>0</v>
      </c>
      <c r="I20" s="12">
        <f>IF($I$5=0,0,H20/$I$5)</f>
        <v>0</v>
      </c>
      <c r="J20" s="13"/>
    </row>
    <row r="21" spans="1:10" x14ac:dyDescent="0.25">
      <c r="A21" s="10">
        <v>46174</v>
      </c>
      <c r="B21" s="11">
        <f>SUMIFS(SavingsTable[Amount],SavingsTable[Transaction Type],"Contribution",SavingsTable[Month Start],A21)</f>
        <v>0</v>
      </c>
      <c r="C21" s="11">
        <f>SUMIFS(SavingsTable[Amount],SavingsTable[Transaction Type],"Withdrawal",SavingsTable[Month Start],A21)</f>
        <v>0</v>
      </c>
      <c r="D21" s="11">
        <f t="shared" si="0"/>
        <v>0</v>
      </c>
      <c r="E21" s="11">
        <f>SUM($D$16:D21)</f>
        <v>0</v>
      </c>
      <c r="F21" s="13"/>
      <c r="G21" s="13"/>
      <c r="H21" s="13"/>
      <c r="I21" s="13"/>
      <c r="J21" s="13"/>
    </row>
    <row r="22" spans="1:10" x14ac:dyDescent="0.25">
      <c r="A22" s="10">
        <v>46204</v>
      </c>
      <c r="B22" s="11">
        <f>SUMIFS(SavingsTable[Amount],SavingsTable[Transaction Type],"Contribution",SavingsTable[Month Start],A22)</f>
        <v>0</v>
      </c>
      <c r="C22" s="11">
        <f>SUMIFS(SavingsTable[Amount],SavingsTable[Transaction Type],"Withdrawal",SavingsTable[Month Start],A22)</f>
        <v>0</v>
      </c>
      <c r="D22" s="11">
        <f t="shared" si="0"/>
        <v>0</v>
      </c>
      <c r="E22" s="11">
        <f>SUM($D$16:D22)</f>
        <v>0</v>
      </c>
      <c r="F22" s="13"/>
      <c r="G22" s="13"/>
      <c r="H22" s="13"/>
      <c r="I22" s="13"/>
      <c r="J22" s="13"/>
    </row>
    <row r="23" spans="1:10" x14ac:dyDescent="0.25">
      <c r="A23" s="10">
        <v>46235</v>
      </c>
      <c r="B23" s="11">
        <f>SUMIFS(SavingsTable[Amount],SavingsTable[Transaction Type],"Contribution",SavingsTable[Month Start],A23)</f>
        <v>203600</v>
      </c>
      <c r="C23" s="11">
        <f>SUMIFS(SavingsTable[Amount],SavingsTable[Transaction Type],"Withdrawal",SavingsTable[Month Start],A23)</f>
        <v>43870</v>
      </c>
      <c r="D23" s="11">
        <f t="shared" si="0"/>
        <v>159730</v>
      </c>
      <c r="E23" s="11">
        <f>SUM($D$16:D23)</f>
        <v>159730</v>
      </c>
      <c r="F23" s="13"/>
      <c r="G23" s="13"/>
      <c r="H23" s="13"/>
      <c r="I23" s="13"/>
      <c r="J23" s="13"/>
    </row>
    <row r="24" spans="1:10" x14ac:dyDescent="0.25">
      <c r="A24" s="10">
        <v>46266</v>
      </c>
      <c r="B24" s="11">
        <f>SUMIFS(SavingsTable[Amount],SavingsTable[Transaction Type],"Contribution",SavingsTable[Month Start],A24)</f>
        <v>0</v>
      </c>
      <c r="C24" s="11">
        <f>SUMIFS(SavingsTable[Amount],SavingsTable[Transaction Type],"Withdrawal",SavingsTable[Month Start],A24)</f>
        <v>0</v>
      </c>
      <c r="D24" s="11">
        <f t="shared" si="0"/>
        <v>0</v>
      </c>
      <c r="E24" s="11">
        <f>SUM($D$16:D24)</f>
        <v>159730</v>
      </c>
      <c r="F24" s="13"/>
      <c r="G24" s="13"/>
      <c r="H24" s="13"/>
      <c r="I24" s="13"/>
      <c r="J24" s="13"/>
    </row>
    <row r="25" spans="1:10" x14ac:dyDescent="0.25">
      <c r="A25" s="10">
        <v>46296</v>
      </c>
      <c r="B25" s="11">
        <f>SUMIFS(SavingsTable[Amount],SavingsTable[Transaction Type],"Contribution",SavingsTable[Month Start],A25)</f>
        <v>0</v>
      </c>
      <c r="C25" s="11">
        <f>SUMIFS(SavingsTable[Amount],SavingsTable[Transaction Type],"Withdrawal",SavingsTable[Month Start],A25)</f>
        <v>0</v>
      </c>
      <c r="D25" s="11">
        <f t="shared" si="0"/>
        <v>0</v>
      </c>
      <c r="E25" s="11">
        <f>SUM($D$16:D25)</f>
        <v>159730</v>
      </c>
      <c r="F25" s="13"/>
      <c r="G25" s="13"/>
      <c r="H25" s="13"/>
      <c r="I25" s="13"/>
      <c r="J25" s="13"/>
    </row>
    <row r="26" spans="1:10" x14ac:dyDescent="0.25">
      <c r="A26" s="10">
        <v>46327</v>
      </c>
      <c r="B26" s="11">
        <f>SUMIFS(SavingsTable[Amount],SavingsTable[Transaction Type],"Contribution",SavingsTable[Month Start],A26)</f>
        <v>0</v>
      </c>
      <c r="C26" s="11">
        <f>SUMIFS(SavingsTable[Amount],SavingsTable[Transaction Type],"Withdrawal",SavingsTable[Month Start],A26)</f>
        <v>0</v>
      </c>
      <c r="D26" s="11">
        <f t="shared" si="0"/>
        <v>0</v>
      </c>
      <c r="E26" s="11">
        <f>SUM($D$16:D26)</f>
        <v>159730</v>
      </c>
      <c r="F26" s="13"/>
      <c r="G26" s="13"/>
      <c r="H26" s="13"/>
      <c r="I26" s="13"/>
      <c r="J26" s="13"/>
    </row>
    <row r="27" spans="1:10" x14ac:dyDescent="0.25">
      <c r="A27" s="10">
        <v>46357</v>
      </c>
      <c r="B27" s="11">
        <f>SUMIFS(SavingsTable[Amount],SavingsTable[Transaction Type],"Contribution",SavingsTable[Month Start],A27)</f>
        <v>0</v>
      </c>
      <c r="C27" s="11">
        <f>SUMIFS(SavingsTable[Amount],SavingsTable[Transaction Type],"Withdrawal",SavingsTable[Month Start],A27)</f>
        <v>0</v>
      </c>
      <c r="D27" s="11">
        <f t="shared" si="0"/>
        <v>0</v>
      </c>
      <c r="E27" s="11">
        <f>SUM($D$16:D27)</f>
        <v>159730</v>
      </c>
      <c r="F27" s="13"/>
      <c r="G27" s="13"/>
      <c r="H27" s="13"/>
      <c r="I27" s="13"/>
      <c r="J27" s="13"/>
    </row>
    <row r="28" spans="1:1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</row>
  </sheetData>
  <mergeCells count="4">
    <mergeCell ref="A1:J1"/>
    <mergeCell ref="A2:J2"/>
    <mergeCell ref="A14:E14"/>
    <mergeCell ref="G14:I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8D39-DF0E-4CB3-8D3D-A5B4B4FCDABA}">
  <dimension ref="A1:L130"/>
  <sheetViews>
    <sheetView showGridLines="0" workbookViewId="0">
      <selection activeCell="B5" sqref="B5"/>
    </sheetView>
  </sheetViews>
  <sheetFormatPr defaultColWidth="9.140625" defaultRowHeight="15" x14ac:dyDescent="0.25"/>
  <cols>
    <col min="1" max="1" width="23.7109375" style="16" bestFit="1" customWidth="1"/>
    <col min="2" max="2" width="15.140625" style="16" bestFit="1" customWidth="1"/>
    <col min="3" max="3" width="18.5703125" style="16" bestFit="1" customWidth="1"/>
    <col min="4" max="4" width="11.140625" style="16" bestFit="1" customWidth="1"/>
    <col min="5" max="5" width="10.5703125" style="16" bestFit="1" customWidth="1"/>
    <col min="6" max="6" width="29.28515625" style="16" bestFit="1" customWidth="1"/>
    <col min="7" max="7" width="13.7109375" style="16" bestFit="1" customWidth="1"/>
    <col min="8" max="8" width="17" style="16" bestFit="1" customWidth="1"/>
    <col min="9" max="10" width="9.140625" style="16"/>
    <col min="11" max="11" width="15.5703125" style="16" bestFit="1" customWidth="1"/>
    <col min="12" max="12" width="19.7109375" style="16" bestFit="1" customWidth="1"/>
    <col min="13" max="16384" width="9.140625" style="16"/>
  </cols>
  <sheetData>
    <row r="1" spans="1:12" ht="24" x14ac:dyDescent="0.4">
      <c r="A1" s="206" t="s">
        <v>78</v>
      </c>
      <c r="B1" s="207"/>
      <c r="C1" s="207"/>
      <c r="D1" s="207"/>
      <c r="E1" s="207"/>
      <c r="F1" s="207"/>
      <c r="G1" s="207"/>
      <c r="H1" s="207"/>
      <c r="K1" s="7" t="s">
        <v>85</v>
      </c>
      <c r="L1" s="7" t="s">
        <v>89</v>
      </c>
    </row>
    <row r="2" spans="1:12" x14ac:dyDescent="0.25">
      <c r="A2" s="208" t="s">
        <v>79</v>
      </c>
      <c r="B2" s="207"/>
      <c r="C2" s="207"/>
      <c r="D2" s="207"/>
      <c r="E2" s="207"/>
      <c r="F2" s="207"/>
      <c r="G2" s="207"/>
      <c r="H2" s="207"/>
      <c r="K2" s="7" t="s">
        <v>40</v>
      </c>
      <c r="L2" s="7" t="s">
        <v>90</v>
      </c>
    </row>
    <row r="3" spans="1:12" x14ac:dyDescent="0.25">
      <c r="A3" s="95"/>
      <c r="B3" s="95"/>
      <c r="C3" s="95"/>
      <c r="D3" s="95"/>
      <c r="E3" s="95"/>
      <c r="F3" s="95"/>
      <c r="G3" s="95"/>
      <c r="H3" s="95"/>
      <c r="K3" s="7" t="s">
        <v>86</v>
      </c>
      <c r="L3" s="7" t="s">
        <v>91</v>
      </c>
    </row>
    <row r="4" spans="1:12" x14ac:dyDescent="0.25">
      <c r="A4" s="98" t="s">
        <v>1</v>
      </c>
      <c r="B4" s="99" t="s">
        <v>80</v>
      </c>
      <c r="C4" s="99" t="s">
        <v>81</v>
      </c>
      <c r="D4" s="99" t="s">
        <v>3</v>
      </c>
      <c r="E4" s="99" t="s">
        <v>82</v>
      </c>
      <c r="F4" s="99" t="s">
        <v>83</v>
      </c>
      <c r="G4" s="99" t="s">
        <v>47</v>
      </c>
      <c r="H4" s="100" t="s">
        <v>84</v>
      </c>
      <c r="K4" s="7" t="s">
        <v>87</v>
      </c>
      <c r="L4" s="7"/>
    </row>
    <row r="5" spans="1:12" x14ac:dyDescent="0.25">
      <c r="A5" s="101">
        <v>46235</v>
      </c>
      <c r="B5" s="102" t="s">
        <v>40</v>
      </c>
      <c r="C5" s="102" t="s">
        <v>90</v>
      </c>
      <c r="D5" s="103">
        <v>144000</v>
      </c>
      <c r="E5" s="102" t="s">
        <v>113</v>
      </c>
      <c r="F5" s="102" t="s">
        <v>26</v>
      </c>
      <c r="G5" s="104">
        <f>IF(SavingsTable[[#This Row],[Date]]="","",DATE(YEAR(SavingsTable[[#This Row],[Date]]),MONTH(SavingsTable[[#This Row],[Date]]),1))</f>
        <v>46235</v>
      </c>
      <c r="H5" s="105">
        <f>IF(SavingsTable[[#This Row],[Amount]]="","",IF(SavingsTable[[#This Row],[Transaction Type]]="Withdrawal",-SavingsTable[[#This Row],[Amount]],SavingsTable[[#This Row],[Amount]]))</f>
        <v>144000</v>
      </c>
      <c r="K5" s="7" t="s">
        <v>88</v>
      </c>
      <c r="L5" s="7"/>
    </row>
    <row r="6" spans="1:12" x14ac:dyDescent="0.25">
      <c r="A6" s="101">
        <v>46239</v>
      </c>
      <c r="B6" s="102" t="s">
        <v>86</v>
      </c>
      <c r="C6" s="102" t="s">
        <v>91</v>
      </c>
      <c r="D6" s="103">
        <v>20000</v>
      </c>
      <c r="E6" s="102" t="s">
        <v>113</v>
      </c>
      <c r="F6" s="102" t="s">
        <v>257</v>
      </c>
      <c r="G6" s="104">
        <f>IF(SavingsTable[[#This Row],[Date]]="","",DATE(YEAR(SavingsTable[[#This Row],[Date]]),MONTH(SavingsTable[[#This Row],[Date]]),1))</f>
        <v>46235</v>
      </c>
      <c r="H6" s="105">
        <f>IF(SavingsTable[[#This Row],[Amount]]="","",IF(SavingsTable[[#This Row],[Transaction Type]]="Withdrawal",-SavingsTable[[#This Row],[Amount]],SavingsTable[[#This Row],[Amount]]))</f>
        <v>-20000</v>
      </c>
      <c r="K6" s="7" t="s">
        <v>27</v>
      </c>
      <c r="L6" s="7"/>
    </row>
    <row r="7" spans="1:12" x14ac:dyDescent="0.25">
      <c r="A7" s="101">
        <v>46240</v>
      </c>
      <c r="B7" s="102" t="s">
        <v>86</v>
      </c>
      <c r="C7" s="102" t="s">
        <v>90</v>
      </c>
      <c r="D7" s="103">
        <v>41600</v>
      </c>
      <c r="E7" s="102" t="s">
        <v>113</v>
      </c>
      <c r="F7" s="102" t="s">
        <v>258</v>
      </c>
      <c r="G7" s="104">
        <f>IF(SavingsTable[[#This Row],[Date]]="","",DATE(YEAR(SavingsTable[[#This Row],[Date]]),MONTH(SavingsTable[[#This Row],[Date]]),1))</f>
        <v>46235</v>
      </c>
      <c r="H7" s="105">
        <f>IF(SavingsTable[[#This Row],[Amount]]="","",IF(SavingsTable[[#This Row],[Transaction Type]]="Withdrawal",-SavingsTable[[#This Row],[Amount]],SavingsTable[[#This Row],[Amount]]))</f>
        <v>41600</v>
      </c>
    </row>
    <row r="8" spans="1:12" x14ac:dyDescent="0.25">
      <c r="A8" s="101">
        <v>46240</v>
      </c>
      <c r="B8" s="102" t="s">
        <v>88</v>
      </c>
      <c r="C8" s="102" t="s">
        <v>91</v>
      </c>
      <c r="D8" s="103">
        <v>6070</v>
      </c>
      <c r="E8" s="102" t="s">
        <v>113</v>
      </c>
      <c r="F8" s="102" t="s">
        <v>261</v>
      </c>
      <c r="G8" s="104">
        <f>IF(SavingsTable[[#This Row],[Date]]="","",DATE(YEAR(SavingsTable[[#This Row],[Date]]),MONTH(SavingsTable[[#This Row],[Date]]),1))</f>
        <v>46235</v>
      </c>
      <c r="H8" s="105">
        <f>IF(SavingsTable[[#This Row],[Amount]]="","",IF(SavingsTable[[#This Row],[Transaction Type]]="Withdrawal",-SavingsTable[[#This Row],[Amount]],SavingsTable[[#This Row],[Amount]]))</f>
        <v>-6070</v>
      </c>
    </row>
    <row r="9" spans="1:12" x14ac:dyDescent="0.25">
      <c r="A9" s="101">
        <v>46244</v>
      </c>
      <c r="B9" s="102" t="s">
        <v>86</v>
      </c>
      <c r="C9" s="102" t="s">
        <v>91</v>
      </c>
      <c r="D9" s="103">
        <v>14800</v>
      </c>
      <c r="E9" s="102" t="s">
        <v>113</v>
      </c>
      <c r="F9" s="102" t="s">
        <v>274</v>
      </c>
      <c r="G9" s="104">
        <f>IF(SavingsTable[[#This Row],[Date]]="","",DATE(YEAR(SavingsTable[[#This Row],[Date]]),MONTH(SavingsTable[[#This Row],[Date]]),1))</f>
        <v>46235</v>
      </c>
      <c r="H9" s="105">
        <f>IF(SavingsTable[[#This Row],[Amount]]="","",IF(SavingsTable[[#This Row],[Transaction Type]]="Withdrawal",-SavingsTable[[#This Row],[Amount]],SavingsTable[[#This Row],[Amount]]))</f>
        <v>-14800</v>
      </c>
    </row>
    <row r="10" spans="1:12" x14ac:dyDescent="0.25">
      <c r="A10" s="101">
        <v>46247</v>
      </c>
      <c r="B10" s="102" t="s">
        <v>86</v>
      </c>
      <c r="C10" s="102" t="s">
        <v>90</v>
      </c>
      <c r="D10" s="103">
        <v>8000</v>
      </c>
      <c r="E10" s="102" t="s">
        <v>113</v>
      </c>
      <c r="F10" s="102" t="s">
        <v>284</v>
      </c>
      <c r="G10" s="104">
        <f>IF(SavingsTable[[#This Row],[Date]]="","",DATE(YEAR(SavingsTable[[#This Row],[Date]]),MONTH(SavingsTable[[#This Row],[Date]]),1))</f>
        <v>46235</v>
      </c>
      <c r="H10" s="105">
        <f>IF(SavingsTable[[#This Row],[Amount]]="","",IF(SavingsTable[[#This Row],[Transaction Type]]="Withdrawal",-SavingsTable[[#This Row],[Amount]],SavingsTable[[#This Row],[Amount]]))</f>
        <v>8000</v>
      </c>
    </row>
    <row r="11" spans="1:12" x14ac:dyDescent="0.25">
      <c r="A11" s="101">
        <v>46247</v>
      </c>
      <c r="B11" s="102" t="s">
        <v>86</v>
      </c>
      <c r="C11" s="102" t="s">
        <v>90</v>
      </c>
      <c r="D11" s="103">
        <v>10000</v>
      </c>
      <c r="E11" s="102" t="s">
        <v>113</v>
      </c>
      <c r="F11" s="102" t="s">
        <v>290</v>
      </c>
      <c r="G11" s="104">
        <f>IF(SavingsTable[[#This Row],[Date]]="","",DATE(YEAR(SavingsTable[[#This Row],[Date]]),MONTH(SavingsTable[[#This Row],[Date]]),1))</f>
        <v>46235</v>
      </c>
      <c r="H11" s="105">
        <f>IF(SavingsTable[[#This Row],[Amount]]="","",IF(SavingsTable[[#This Row],[Transaction Type]]="Withdrawal",-SavingsTable[[#This Row],[Amount]],SavingsTable[[#This Row],[Amount]]))</f>
        <v>10000</v>
      </c>
    </row>
    <row r="12" spans="1:12" x14ac:dyDescent="0.25">
      <c r="A12" s="101">
        <v>46256</v>
      </c>
      <c r="B12" s="102" t="s">
        <v>86</v>
      </c>
      <c r="C12" s="102" t="s">
        <v>91</v>
      </c>
      <c r="D12" s="103">
        <v>3000</v>
      </c>
      <c r="E12" s="102" t="s">
        <v>113</v>
      </c>
      <c r="F12" s="102" t="s">
        <v>383</v>
      </c>
      <c r="G12" s="104">
        <f>IF(SavingsTable[[#This Row],[Date]]="","",DATE(YEAR(SavingsTable[[#This Row],[Date]]),MONTH(SavingsTable[[#This Row],[Date]]),1))</f>
        <v>46235</v>
      </c>
      <c r="H12" s="105">
        <f>IF(SavingsTable[[#This Row],[Amount]]="","",IF(SavingsTable[[#This Row],[Transaction Type]]="Withdrawal",-SavingsTable[[#This Row],[Amount]],SavingsTable[[#This Row],[Amount]]))</f>
        <v>-3000</v>
      </c>
    </row>
    <row r="13" spans="1:12" x14ac:dyDescent="0.25">
      <c r="A13" s="101"/>
      <c r="B13" s="102"/>
      <c r="C13" s="102"/>
      <c r="D13" s="103"/>
      <c r="E13" s="102"/>
      <c r="F13" s="102"/>
      <c r="G13" s="104" t="str">
        <f>IF(SavingsTable[[#This Row],[Date]]="","",DATE(YEAR(SavingsTable[[#This Row],[Date]]),MONTH(SavingsTable[[#This Row],[Date]]),1))</f>
        <v/>
      </c>
      <c r="H13" s="105" t="str">
        <f>IF(SavingsTable[[#This Row],[Amount]]="","",IF(SavingsTable[[#This Row],[Transaction Type]]="Withdrawal",-SavingsTable[[#This Row],[Amount]],SavingsTable[[#This Row],[Amount]]))</f>
        <v/>
      </c>
    </row>
    <row r="14" spans="1:12" x14ac:dyDescent="0.25">
      <c r="A14" s="101"/>
      <c r="B14" s="102"/>
      <c r="C14" s="102"/>
      <c r="D14" s="103"/>
      <c r="E14" s="102"/>
      <c r="F14" s="102"/>
      <c r="G14" s="104" t="str">
        <f>IF(SavingsTable[[#This Row],[Date]]="","",DATE(YEAR(SavingsTable[[#This Row],[Date]]),MONTH(SavingsTable[[#This Row],[Date]]),1))</f>
        <v/>
      </c>
      <c r="H14" s="105" t="str">
        <f>IF(SavingsTable[[#This Row],[Amount]]="","",IF(SavingsTable[[#This Row],[Transaction Type]]="Withdrawal",-SavingsTable[[#This Row],[Amount]],SavingsTable[[#This Row],[Amount]]))</f>
        <v/>
      </c>
    </row>
    <row r="15" spans="1:12" x14ac:dyDescent="0.25">
      <c r="A15" s="101"/>
      <c r="B15" s="102"/>
      <c r="C15" s="102"/>
      <c r="D15" s="103"/>
      <c r="E15" s="102"/>
      <c r="F15" s="102"/>
      <c r="G15" s="104" t="str">
        <f>IF(SavingsTable[[#This Row],[Date]]="","",DATE(YEAR(SavingsTable[[#This Row],[Date]]),MONTH(SavingsTable[[#This Row],[Date]]),1))</f>
        <v/>
      </c>
      <c r="H15" s="105" t="str">
        <f>IF(SavingsTable[[#This Row],[Amount]]="","",IF(SavingsTable[[#This Row],[Transaction Type]]="Withdrawal",-SavingsTable[[#This Row],[Amount]],SavingsTable[[#This Row],[Amount]]))</f>
        <v/>
      </c>
    </row>
    <row r="16" spans="1:12" x14ac:dyDescent="0.25">
      <c r="A16" s="101"/>
      <c r="B16" s="102"/>
      <c r="C16" s="102"/>
      <c r="D16" s="103"/>
      <c r="E16" s="102"/>
      <c r="F16" s="102"/>
      <c r="G16" s="104" t="str">
        <f>IF(SavingsTable[[#This Row],[Date]]="","",DATE(YEAR(SavingsTable[[#This Row],[Date]]),MONTH(SavingsTable[[#This Row],[Date]]),1))</f>
        <v/>
      </c>
      <c r="H16" s="105" t="str">
        <f>IF(SavingsTable[[#This Row],[Amount]]="","",IF(SavingsTable[[#This Row],[Transaction Type]]="Withdrawal",-SavingsTable[[#This Row],[Amount]],SavingsTable[[#This Row],[Amount]]))</f>
        <v/>
      </c>
    </row>
    <row r="17" spans="1:8" x14ac:dyDescent="0.25">
      <c r="A17" s="101"/>
      <c r="B17" s="102"/>
      <c r="C17" s="102"/>
      <c r="D17" s="103"/>
      <c r="E17" s="102"/>
      <c r="F17" s="102"/>
      <c r="G17" s="104" t="str">
        <f>IF(SavingsTable[[#This Row],[Date]]="","",DATE(YEAR(SavingsTable[[#This Row],[Date]]),MONTH(SavingsTable[[#This Row],[Date]]),1))</f>
        <v/>
      </c>
      <c r="H17" s="105" t="str">
        <f>IF(SavingsTable[[#This Row],[Amount]]="","",IF(SavingsTable[[#This Row],[Transaction Type]]="Withdrawal",-SavingsTable[[#This Row],[Amount]],SavingsTable[[#This Row],[Amount]]))</f>
        <v/>
      </c>
    </row>
    <row r="18" spans="1:8" x14ac:dyDescent="0.25">
      <c r="A18" s="101"/>
      <c r="B18" s="102"/>
      <c r="C18" s="102"/>
      <c r="D18" s="103"/>
      <c r="E18" s="102"/>
      <c r="F18" s="102"/>
      <c r="G18" s="104" t="str">
        <f>IF(SavingsTable[[#This Row],[Date]]="","",DATE(YEAR(SavingsTable[[#This Row],[Date]]),MONTH(SavingsTable[[#This Row],[Date]]),1))</f>
        <v/>
      </c>
      <c r="H18" s="105" t="str">
        <f>IF(SavingsTable[[#This Row],[Amount]]="","",IF(SavingsTable[[#This Row],[Transaction Type]]="Withdrawal",-SavingsTable[[#This Row],[Amount]],SavingsTable[[#This Row],[Amount]]))</f>
        <v/>
      </c>
    </row>
    <row r="19" spans="1:8" x14ac:dyDescent="0.25">
      <c r="A19" s="101"/>
      <c r="B19" s="102"/>
      <c r="C19" s="102"/>
      <c r="D19" s="103"/>
      <c r="E19" s="102"/>
      <c r="F19" s="102"/>
      <c r="G19" s="104" t="str">
        <f>IF(SavingsTable[[#This Row],[Date]]="","",DATE(YEAR(SavingsTable[[#This Row],[Date]]),MONTH(SavingsTable[[#This Row],[Date]]),1))</f>
        <v/>
      </c>
      <c r="H19" s="105" t="str">
        <f>IF(SavingsTable[[#This Row],[Amount]]="","",IF(SavingsTable[[#This Row],[Transaction Type]]="Withdrawal",-SavingsTable[[#This Row],[Amount]],SavingsTable[[#This Row],[Amount]]))</f>
        <v/>
      </c>
    </row>
    <row r="20" spans="1:8" x14ac:dyDescent="0.25">
      <c r="A20" s="101"/>
      <c r="B20" s="102"/>
      <c r="C20" s="102"/>
      <c r="D20" s="103"/>
      <c r="E20" s="102"/>
      <c r="F20" s="102"/>
      <c r="G20" s="104" t="str">
        <f>IF(SavingsTable[[#This Row],[Date]]="","",DATE(YEAR(SavingsTable[[#This Row],[Date]]),MONTH(SavingsTable[[#This Row],[Date]]),1))</f>
        <v/>
      </c>
      <c r="H20" s="105" t="str">
        <f>IF(SavingsTable[[#This Row],[Amount]]="","",IF(SavingsTable[[#This Row],[Transaction Type]]="Withdrawal",-SavingsTable[[#This Row],[Amount]],SavingsTable[[#This Row],[Amount]]))</f>
        <v/>
      </c>
    </row>
    <row r="21" spans="1:8" x14ac:dyDescent="0.25">
      <c r="A21" s="101"/>
      <c r="B21" s="102"/>
      <c r="C21" s="102"/>
      <c r="D21" s="103"/>
      <c r="E21" s="102"/>
      <c r="F21" s="102"/>
      <c r="G21" s="104" t="str">
        <f>IF(SavingsTable[[#This Row],[Date]]="","",DATE(YEAR(SavingsTable[[#This Row],[Date]]),MONTH(SavingsTable[[#This Row],[Date]]),1))</f>
        <v/>
      </c>
      <c r="H21" s="105" t="str">
        <f>IF(SavingsTable[[#This Row],[Amount]]="","",IF(SavingsTable[[#This Row],[Transaction Type]]="Withdrawal",-SavingsTable[[#This Row],[Amount]],SavingsTable[[#This Row],[Amount]]))</f>
        <v/>
      </c>
    </row>
    <row r="22" spans="1:8" x14ac:dyDescent="0.25">
      <c r="A22" s="101"/>
      <c r="B22" s="102"/>
      <c r="C22" s="102"/>
      <c r="D22" s="103"/>
      <c r="E22" s="102"/>
      <c r="F22" s="102"/>
      <c r="G22" s="104" t="str">
        <f>IF(SavingsTable[[#This Row],[Date]]="","",DATE(YEAR(SavingsTable[[#This Row],[Date]]),MONTH(SavingsTable[[#This Row],[Date]]),1))</f>
        <v/>
      </c>
      <c r="H22" s="105" t="str">
        <f>IF(SavingsTable[[#This Row],[Amount]]="","",IF(SavingsTable[[#This Row],[Transaction Type]]="Withdrawal",-SavingsTable[[#This Row],[Amount]],SavingsTable[[#This Row],[Amount]]))</f>
        <v/>
      </c>
    </row>
    <row r="23" spans="1:8" x14ac:dyDescent="0.25">
      <c r="A23" s="101"/>
      <c r="B23" s="102"/>
      <c r="C23" s="102"/>
      <c r="D23" s="103"/>
      <c r="E23" s="102"/>
      <c r="F23" s="102"/>
      <c r="G23" s="104" t="str">
        <f>IF(SavingsTable[[#This Row],[Date]]="","",DATE(YEAR(SavingsTable[[#This Row],[Date]]),MONTH(SavingsTable[[#This Row],[Date]]),1))</f>
        <v/>
      </c>
      <c r="H23" s="105" t="str">
        <f>IF(SavingsTable[[#This Row],[Amount]]="","",IF(SavingsTable[[#This Row],[Transaction Type]]="Withdrawal",-SavingsTable[[#This Row],[Amount]],SavingsTable[[#This Row],[Amount]]))</f>
        <v/>
      </c>
    </row>
    <row r="24" spans="1:8" x14ac:dyDescent="0.25">
      <c r="A24" s="101"/>
      <c r="B24" s="102"/>
      <c r="C24" s="102"/>
      <c r="D24" s="103"/>
      <c r="E24" s="102"/>
      <c r="F24" s="102"/>
      <c r="G24" s="104" t="str">
        <f>IF(SavingsTable[[#This Row],[Date]]="","",DATE(YEAR(SavingsTable[[#This Row],[Date]]),MONTH(SavingsTable[[#This Row],[Date]]),1))</f>
        <v/>
      </c>
      <c r="H24" s="105" t="str">
        <f>IF(SavingsTable[[#This Row],[Amount]]="","",IF(SavingsTable[[#This Row],[Transaction Type]]="Withdrawal",-SavingsTable[[#This Row],[Amount]],SavingsTable[[#This Row],[Amount]]))</f>
        <v/>
      </c>
    </row>
    <row r="25" spans="1:8" x14ac:dyDescent="0.25">
      <c r="A25" s="101"/>
      <c r="B25" s="102"/>
      <c r="C25" s="102"/>
      <c r="D25" s="103"/>
      <c r="E25" s="102"/>
      <c r="F25" s="102"/>
      <c r="G25" s="104" t="str">
        <f>IF(SavingsTable[[#This Row],[Date]]="","",DATE(YEAR(SavingsTable[[#This Row],[Date]]),MONTH(SavingsTable[[#This Row],[Date]]),1))</f>
        <v/>
      </c>
      <c r="H25" s="105" t="str">
        <f>IF(SavingsTable[[#This Row],[Amount]]="","",IF(SavingsTable[[#This Row],[Transaction Type]]="Withdrawal",-SavingsTable[[#This Row],[Amount]],SavingsTable[[#This Row],[Amount]]))</f>
        <v/>
      </c>
    </row>
    <row r="26" spans="1:8" x14ac:dyDescent="0.25">
      <c r="A26" s="101"/>
      <c r="B26" s="102"/>
      <c r="C26" s="102"/>
      <c r="D26" s="103"/>
      <c r="E26" s="102"/>
      <c r="F26" s="102"/>
      <c r="G26" s="104" t="str">
        <f>IF(SavingsTable[[#This Row],[Date]]="","",DATE(YEAR(SavingsTable[[#This Row],[Date]]),MONTH(SavingsTable[[#This Row],[Date]]),1))</f>
        <v/>
      </c>
      <c r="H26" s="105" t="str">
        <f>IF(SavingsTable[[#This Row],[Amount]]="","",IF(SavingsTable[[#This Row],[Transaction Type]]="Withdrawal",-SavingsTable[[#This Row],[Amount]],SavingsTable[[#This Row],[Amount]]))</f>
        <v/>
      </c>
    </row>
    <row r="27" spans="1:8" x14ac:dyDescent="0.25">
      <c r="A27" s="101"/>
      <c r="B27" s="102"/>
      <c r="C27" s="102"/>
      <c r="D27" s="103"/>
      <c r="E27" s="102"/>
      <c r="F27" s="102"/>
      <c r="G27" s="104" t="str">
        <f>IF(SavingsTable[[#This Row],[Date]]="","",DATE(YEAR(SavingsTable[[#This Row],[Date]]),MONTH(SavingsTable[[#This Row],[Date]]),1))</f>
        <v/>
      </c>
      <c r="H27" s="105" t="str">
        <f>IF(SavingsTable[[#This Row],[Amount]]="","",IF(SavingsTable[[#This Row],[Transaction Type]]="Withdrawal",-SavingsTable[[#This Row],[Amount]],SavingsTable[[#This Row],[Amount]]))</f>
        <v/>
      </c>
    </row>
    <row r="28" spans="1:8" x14ac:dyDescent="0.25">
      <c r="A28" s="101"/>
      <c r="B28" s="102"/>
      <c r="C28" s="102"/>
      <c r="D28" s="103"/>
      <c r="E28" s="102"/>
      <c r="F28" s="102"/>
      <c r="G28" s="104" t="str">
        <f>IF(SavingsTable[[#This Row],[Date]]="","",DATE(YEAR(SavingsTable[[#This Row],[Date]]),MONTH(SavingsTable[[#This Row],[Date]]),1))</f>
        <v/>
      </c>
      <c r="H28" s="105" t="str">
        <f>IF(SavingsTable[[#This Row],[Amount]]="","",IF(SavingsTable[[#This Row],[Transaction Type]]="Withdrawal",-SavingsTable[[#This Row],[Amount]],SavingsTable[[#This Row],[Amount]]))</f>
        <v/>
      </c>
    </row>
    <row r="29" spans="1:8" x14ac:dyDescent="0.25">
      <c r="A29" s="101"/>
      <c r="B29" s="102"/>
      <c r="C29" s="102"/>
      <c r="D29" s="103"/>
      <c r="E29" s="102"/>
      <c r="F29" s="102"/>
      <c r="G29" s="104" t="str">
        <f>IF(SavingsTable[[#This Row],[Date]]="","",DATE(YEAR(SavingsTable[[#This Row],[Date]]),MONTH(SavingsTable[[#This Row],[Date]]),1))</f>
        <v/>
      </c>
      <c r="H29" s="105" t="str">
        <f>IF(SavingsTable[[#This Row],[Amount]]="","",IF(SavingsTable[[#This Row],[Transaction Type]]="Withdrawal",-SavingsTable[[#This Row],[Amount]],SavingsTable[[#This Row],[Amount]]))</f>
        <v/>
      </c>
    </row>
    <row r="30" spans="1:8" x14ac:dyDescent="0.25">
      <c r="A30" s="101"/>
      <c r="B30" s="102"/>
      <c r="C30" s="102"/>
      <c r="D30" s="103"/>
      <c r="E30" s="102"/>
      <c r="F30" s="102"/>
      <c r="G30" s="104" t="str">
        <f>IF(SavingsTable[[#This Row],[Date]]="","",DATE(YEAR(SavingsTable[[#This Row],[Date]]),MONTH(SavingsTable[[#This Row],[Date]]),1))</f>
        <v/>
      </c>
      <c r="H30" s="105" t="str">
        <f>IF(SavingsTable[[#This Row],[Amount]]="","",IF(SavingsTable[[#This Row],[Transaction Type]]="Withdrawal",-SavingsTable[[#This Row],[Amount]],SavingsTable[[#This Row],[Amount]]))</f>
        <v/>
      </c>
    </row>
    <row r="31" spans="1:8" x14ac:dyDescent="0.25">
      <c r="A31" s="101"/>
      <c r="B31" s="102"/>
      <c r="C31" s="102"/>
      <c r="D31" s="103"/>
      <c r="E31" s="102"/>
      <c r="F31" s="102"/>
      <c r="G31" s="104" t="str">
        <f>IF(SavingsTable[[#This Row],[Date]]="","",DATE(YEAR(SavingsTable[[#This Row],[Date]]),MONTH(SavingsTable[[#This Row],[Date]]),1))</f>
        <v/>
      </c>
      <c r="H31" s="105" t="str">
        <f>IF(SavingsTable[[#This Row],[Amount]]="","",IF(SavingsTable[[#This Row],[Transaction Type]]="Withdrawal",-SavingsTable[[#This Row],[Amount]],SavingsTable[[#This Row],[Amount]]))</f>
        <v/>
      </c>
    </row>
    <row r="32" spans="1:8" x14ac:dyDescent="0.25">
      <c r="A32" s="101"/>
      <c r="B32" s="102"/>
      <c r="C32" s="102"/>
      <c r="D32" s="103"/>
      <c r="E32" s="102"/>
      <c r="F32" s="102"/>
      <c r="G32" s="104" t="str">
        <f>IF(SavingsTable[[#This Row],[Date]]="","",DATE(YEAR(SavingsTable[[#This Row],[Date]]),MONTH(SavingsTable[[#This Row],[Date]]),1))</f>
        <v/>
      </c>
      <c r="H32" s="105" t="str">
        <f>IF(SavingsTable[[#This Row],[Amount]]="","",IF(SavingsTable[[#This Row],[Transaction Type]]="Withdrawal",-SavingsTable[[#This Row],[Amount]],SavingsTable[[#This Row],[Amount]]))</f>
        <v/>
      </c>
    </row>
    <row r="33" spans="1:8" x14ac:dyDescent="0.25">
      <c r="A33" s="101"/>
      <c r="B33" s="102"/>
      <c r="C33" s="102"/>
      <c r="D33" s="103"/>
      <c r="E33" s="102"/>
      <c r="F33" s="102"/>
      <c r="G33" s="104" t="str">
        <f>IF(SavingsTable[[#This Row],[Date]]="","",DATE(YEAR(SavingsTable[[#This Row],[Date]]),MONTH(SavingsTable[[#This Row],[Date]]),1))</f>
        <v/>
      </c>
      <c r="H33" s="105" t="str">
        <f>IF(SavingsTable[[#This Row],[Amount]]="","",IF(SavingsTable[[#This Row],[Transaction Type]]="Withdrawal",-SavingsTable[[#This Row],[Amount]],SavingsTable[[#This Row],[Amount]]))</f>
        <v/>
      </c>
    </row>
    <row r="34" spans="1:8" x14ac:dyDescent="0.25">
      <c r="A34" s="101"/>
      <c r="B34" s="102"/>
      <c r="C34" s="102"/>
      <c r="D34" s="103"/>
      <c r="E34" s="102"/>
      <c r="F34" s="102"/>
      <c r="G34" s="104" t="str">
        <f>IF(SavingsTable[[#This Row],[Date]]="","",DATE(YEAR(SavingsTable[[#This Row],[Date]]),MONTH(SavingsTable[[#This Row],[Date]]),1))</f>
        <v/>
      </c>
      <c r="H34" s="105" t="str">
        <f>IF(SavingsTable[[#This Row],[Amount]]="","",IF(SavingsTable[[#This Row],[Transaction Type]]="Withdrawal",-SavingsTable[[#This Row],[Amount]],SavingsTable[[#This Row],[Amount]]))</f>
        <v/>
      </c>
    </row>
    <row r="35" spans="1:8" x14ac:dyDescent="0.25">
      <c r="A35" s="101"/>
      <c r="B35" s="102"/>
      <c r="C35" s="102"/>
      <c r="D35" s="103"/>
      <c r="E35" s="102"/>
      <c r="F35" s="102"/>
      <c r="G35" s="104" t="str">
        <f>IF(SavingsTable[[#This Row],[Date]]="","",DATE(YEAR(SavingsTable[[#This Row],[Date]]),MONTH(SavingsTable[[#This Row],[Date]]),1))</f>
        <v/>
      </c>
      <c r="H35" s="105" t="str">
        <f>IF(SavingsTable[[#This Row],[Amount]]="","",IF(SavingsTable[[#This Row],[Transaction Type]]="Withdrawal",-SavingsTable[[#This Row],[Amount]],SavingsTable[[#This Row],[Amount]]))</f>
        <v/>
      </c>
    </row>
    <row r="36" spans="1:8" x14ac:dyDescent="0.25">
      <c r="A36" s="101"/>
      <c r="B36" s="102"/>
      <c r="C36" s="102"/>
      <c r="D36" s="103"/>
      <c r="E36" s="102"/>
      <c r="F36" s="102"/>
      <c r="G36" s="104" t="str">
        <f>IF(SavingsTable[[#This Row],[Date]]="","",DATE(YEAR(SavingsTable[[#This Row],[Date]]),MONTH(SavingsTable[[#This Row],[Date]]),1))</f>
        <v/>
      </c>
      <c r="H36" s="105" t="str">
        <f>IF(SavingsTable[[#This Row],[Amount]]="","",IF(SavingsTable[[#This Row],[Transaction Type]]="Withdrawal",-SavingsTable[[#This Row],[Amount]],SavingsTable[[#This Row],[Amount]]))</f>
        <v/>
      </c>
    </row>
    <row r="37" spans="1:8" x14ac:dyDescent="0.25">
      <c r="A37" s="101"/>
      <c r="B37" s="102"/>
      <c r="C37" s="102"/>
      <c r="D37" s="103"/>
      <c r="E37" s="102"/>
      <c r="F37" s="102"/>
      <c r="G37" s="104" t="str">
        <f>IF(SavingsTable[[#This Row],[Date]]="","",DATE(YEAR(SavingsTable[[#This Row],[Date]]),MONTH(SavingsTable[[#This Row],[Date]]),1))</f>
        <v/>
      </c>
      <c r="H37" s="105" t="str">
        <f>IF(SavingsTable[[#This Row],[Amount]]="","",IF(SavingsTable[[#This Row],[Transaction Type]]="Withdrawal",-SavingsTable[[#This Row],[Amount]],SavingsTable[[#This Row],[Amount]]))</f>
        <v/>
      </c>
    </row>
    <row r="38" spans="1:8" x14ac:dyDescent="0.25">
      <c r="A38" s="101"/>
      <c r="B38" s="102"/>
      <c r="C38" s="102"/>
      <c r="D38" s="103"/>
      <c r="E38" s="102"/>
      <c r="F38" s="102"/>
      <c r="G38" s="104" t="str">
        <f>IF(SavingsTable[[#This Row],[Date]]="","",DATE(YEAR(SavingsTable[[#This Row],[Date]]),MONTH(SavingsTable[[#This Row],[Date]]),1))</f>
        <v/>
      </c>
      <c r="H38" s="105" t="str">
        <f>IF(SavingsTable[[#This Row],[Amount]]="","",IF(SavingsTable[[#This Row],[Transaction Type]]="Withdrawal",-SavingsTable[[#This Row],[Amount]],SavingsTable[[#This Row],[Amount]]))</f>
        <v/>
      </c>
    </row>
    <row r="39" spans="1:8" x14ac:dyDescent="0.25">
      <c r="A39" s="101"/>
      <c r="B39" s="102"/>
      <c r="C39" s="102"/>
      <c r="D39" s="103"/>
      <c r="E39" s="102"/>
      <c r="F39" s="102"/>
      <c r="G39" s="104" t="str">
        <f>IF(SavingsTable[[#This Row],[Date]]="","",DATE(YEAR(SavingsTable[[#This Row],[Date]]),MONTH(SavingsTable[[#This Row],[Date]]),1))</f>
        <v/>
      </c>
      <c r="H39" s="105" t="str">
        <f>IF(SavingsTable[[#This Row],[Amount]]="","",IF(SavingsTable[[#This Row],[Transaction Type]]="Withdrawal",-SavingsTable[[#This Row],[Amount]],SavingsTable[[#This Row],[Amount]]))</f>
        <v/>
      </c>
    </row>
    <row r="40" spans="1:8" x14ac:dyDescent="0.25">
      <c r="A40" s="101"/>
      <c r="B40" s="102"/>
      <c r="C40" s="102"/>
      <c r="D40" s="103"/>
      <c r="E40" s="102"/>
      <c r="F40" s="102"/>
      <c r="G40" s="104" t="str">
        <f>IF(SavingsTable[[#This Row],[Date]]="","",DATE(YEAR(SavingsTable[[#This Row],[Date]]),MONTH(SavingsTable[[#This Row],[Date]]),1))</f>
        <v/>
      </c>
      <c r="H40" s="105" t="str">
        <f>IF(SavingsTable[[#This Row],[Amount]]="","",IF(SavingsTable[[#This Row],[Transaction Type]]="Withdrawal",-SavingsTable[[#This Row],[Amount]],SavingsTable[[#This Row],[Amount]]))</f>
        <v/>
      </c>
    </row>
    <row r="41" spans="1:8" x14ac:dyDescent="0.25">
      <c r="A41" s="101"/>
      <c r="B41" s="102"/>
      <c r="C41" s="102"/>
      <c r="D41" s="103"/>
      <c r="E41" s="102"/>
      <c r="F41" s="102"/>
      <c r="G41" s="104" t="str">
        <f>IF(SavingsTable[[#This Row],[Date]]="","",DATE(YEAR(SavingsTable[[#This Row],[Date]]),MONTH(SavingsTable[[#This Row],[Date]]),1))</f>
        <v/>
      </c>
      <c r="H41" s="105" t="str">
        <f>IF(SavingsTable[[#This Row],[Amount]]="","",IF(SavingsTable[[#This Row],[Transaction Type]]="Withdrawal",-SavingsTable[[#This Row],[Amount]],SavingsTable[[#This Row],[Amount]]))</f>
        <v/>
      </c>
    </row>
    <row r="42" spans="1:8" x14ac:dyDescent="0.25">
      <c r="A42" s="101"/>
      <c r="B42" s="102"/>
      <c r="C42" s="102"/>
      <c r="D42" s="103"/>
      <c r="E42" s="102"/>
      <c r="F42" s="102"/>
      <c r="G42" s="104" t="str">
        <f>IF(SavingsTable[[#This Row],[Date]]="","",DATE(YEAR(SavingsTable[[#This Row],[Date]]),MONTH(SavingsTable[[#This Row],[Date]]),1))</f>
        <v/>
      </c>
      <c r="H42" s="105" t="str">
        <f>IF(SavingsTable[[#This Row],[Amount]]="","",IF(SavingsTable[[#This Row],[Transaction Type]]="Withdrawal",-SavingsTable[[#This Row],[Amount]],SavingsTable[[#This Row],[Amount]]))</f>
        <v/>
      </c>
    </row>
    <row r="43" spans="1:8" x14ac:dyDescent="0.25">
      <c r="A43" s="101"/>
      <c r="B43" s="102"/>
      <c r="C43" s="102"/>
      <c r="D43" s="103"/>
      <c r="E43" s="102"/>
      <c r="F43" s="102"/>
      <c r="G43" s="104" t="str">
        <f>IF(SavingsTable[[#This Row],[Date]]="","",DATE(YEAR(SavingsTable[[#This Row],[Date]]),MONTH(SavingsTable[[#This Row],[Date]]),1))</f>
        <v/>
      </c>
      <c r="H43" s="105" t="str">
        <f>IF(SavingsTable[[#This Row],[Amount]]="","",IF(SavingsTable[[#This Row],[Transaction Type]]="Withdrawal",-SavingsTable[[#This Row],[Amount]],SavingsTable[[#This Row],[Amount]]))</f>
        <v/>
      </c>
    </row>
    <row r="44" spans="1:8" x14ac:dyDescent="0.25">
      <c r="A44" s="101"/>
      <c r="B44" s="102"/>
      <c r="C44" s="102"/>
      <c r="D44" s="103"/>
      <c r="E44" s="102"/>
      <c r="F44" s="102"/>
      <c r="G44" s="104" t="str">
        <f>IF(SavingsTable[[#This Row],[Date]]="","",DATE(YEAR(SavingsTable[[#This Row],[Date]]),MONTH(SavingsTable[[#This Row],[Date]]),1))</f>
        <v/>
      </c>
      <c r="H44" s="105" t="str">
        <f>IF(SavingsTable[[#This Row],[Amount]]="","",IF(SavingsTable[[#This Row],[Transaction Type]]="Withdrawal",-SavingsTable[[#This Row],[Amount]],SavingsTable[[#This Row],[Amount]]))</f>
        <v/>
      </c>
    </row>
    <row r="45" spans="1:8" x14ac:dyDescent="0.25">
      <c r="A45" s="101"/>
      <c r="B45" s="102"/>
      <c r="C45" s="102"/>
      <c r="D45" s="103"/>
      <c r="E45" s="102"/>
      <c r="F45" s="102"/>
      <c r="G45" s="104" t="str">
        <f>IF(SavingsTable[[#This Row],[Date]]="","",DATE(YEAR(SavingsTable[[#This Row],[Date]]),MONTH(SavingsTable[[#This Row],[Date]]),1))</f>
        <v/>
      </c>
      <c r="H45" s="105" t="str">
        <f>IF(SavingsTable[[#This Row],[Amount]]="","",IF(SavingsTable[[#This Row],[Transaction Type]]="Withdrawal",-SavingsTable[[#This Row],[Amount]],SavingsTable[[#This Row],[Amount]]))</f>
        <v/>
      </c>
    </row>
    <row r="46" spans="1:8" x14ac:dyDescent="0.25">
      <c r="A46" s="101"/>
      <c r="B46" s="102"/>
      <c r="C46" s="102"/>
      <c r="D46" s="103"/>
      <c r="E46" s="102"/>
      <c r="F46" s="102"/>
      <c r="G46" s="104" t="str">
        <f>IF(SavingsTable[[#This Row],[Date]]="","",DATE(YEAR(SavingsTable[[#This Row],[Date]]),MONTH(SavingsTable[[#This Row],[Date]]),1))</f>
        <v/>
      </c>
      <c r="H46" s="105" t="str">
        <f>IF(SavingsTable[[#This Row],[Amount]]="","",IF(SavingsTable[[#This Row],[Transaction Type]]="Withdrawal",-SavingsTable[[#This Row],[Amount]],SavingsTable[[#This Row],[Amount]]))</f>
        <v/>
      </c>
    </row>
    <row r="47" spans="1:8" x14ac:dyDescent="0.25">
      <c r="A47" s="101"/>
      <c r="B47" s="102"/>
      <c r="C47" s="102"/>
      <c r="D47" s="103"/>
      <c r="E47" s="102"/>
      <c r="F47" s="102"/>
      <c r="G47" s="104" t="str">
        <f>IF(SavingsTable[[#This Row],[Date]]="","",DATE(YEAR(SavingsTable[[#This Row],[Date]]),MONTH(SavingsTable[[#This Row],[Date]]),1))</f>
        <v/>
      </c>
      <c r="H47" s="105" t="str">
        <f>IF(SavingsTable[[#This Row],[Amount]]="","",IF(SavingsTable[[#This Row],[Transaction Type]]="Withdrawal",-SavingsTable[[#This Row],[Amount]],SavingsTable[[#This Row],[Amount]]))</f>
        <v/>
      </c>
    </row>
    <row r="48" spans="1:8" x14ac:dyDescent="0.25">
      <c r="A48" s="101"/>
      <c r="B48" s="102"/>
      <c r="C48" s="102"/>
      <c r="D48" s="103"/>
      <c r="E48" s="102"/>
      <c r="F48" s="102"/>
      <c r="G48" s="104" t="str">
        <f>IF(SavingsTable[[#This Row],[Date]]="","",DATE(YEAR(SavingsTable[[#This Row],[Date]]),MONTH(SavingsTable[[#This Row],[Date]]),1))</f>
        <v/>
      </c>
      <c r="H48" s="105" t="str">
        <f>IF(SavingsTable[[#This Row],[Amount]]="","",IF(SavingsTable[[#This Row],[Transaction Type]]="Withdrawal",-SavingsTable[[#This Row],[Amount]],SavingsTable[[#This Row],[Amount]]))</f>
        <v/>
      </c>
    </row>
    <row r="49" spans="1:8" x14ac:dyDescent="0.25">
      <c r="A49" s="101"/>
      <c r="B49" s="102"/>
      <c r="C49" s="102"/>
      <c r="D49" s="103"/>
      <c r="E49" s="102"/>
      <c r="F49" s="102"/>
      <c r="G49" s="104" t="str">
        <f>IF(SavingsTable[[#This Row],[Date]]="","",DATE(YEAR(SavingsTable[[#This Row],[Date]]),MONTH(SavingsTable[[#This Row],[Date]]),1))</f>
        <v/>
      </c>
      <c r="H49" s="105" t="str">
        <f>IF(SavingsTable[[#This Row],[Amount]]="","",IF(SavingsTable[[#This Row],[Transaction Type]]="Withdrawal",-SavingsTable[[#This Row],[Amount]],SavingsTable[[#This Row],[Amount]]))</f>
        <v/>
      </c>
    </row>
    <row r="50" spans="1:8" x14ac:dyDescent="0.25">
      <c r="A50" s="101"/>
      <c r="B50" s="102"/>
      <c r="C50" s="102"/>
      <c r="D50" s="103"/>
      <c r="E50" s="102"/>
      <c r="F50" s="102"/>
      <c r="G50" s="104" t="str">
        <f>IF(SavingsTable[[#This Row],[Date]]="","",DATE(YEAR(SavingsTable[[#This Row],[Date]]),MONTH(SavingsTable[[#This Row],[Date]]),1))</f>
        <v/>
      </c>
      <c r="H50" s="105" t="str">
        <f>IF(SavingsTable[[#This Row],[Amount]]="","",IF(SavingsTable[[#This Row],[Transaction Type]]="Withdrawal",-SavingsTable[[#This Row],[Amount]],SavingsTable[[#This Row],[Amount]]))</f>
        <v/>
      </c>
    </row>
    <row r="51" spans="1:8" x14ac:dyDescent="0.25">
      <c r="A51" s="101"/>
      <c r="B51" s="102"/>
      <c r="C51" s="102"/>
      <c r="D51" s="103"/>
      <c r="E51" s="102"/>
      <c r="F51" s="102"/>
      <c r="G51" s="104" t="str">
        <f>IF(SavingsTable[[#This Row],[Date]]="","",DATE(YEAR(SavingsTable[[#This Row],[Date]]),MONTH(SavingsTable[[#This Row],[Date]]),1))</f>
        <v/>
      </c>
      <c r="H51" s="105" t="str">
        <f>IF(SavingsTable[[#This Row],[Amount]]="","",IF(SavingsTable[[#This Row],[Transaction Type]]="Withdrawal",-SavingsTable[[#This Row],[Amount]],SavingsTable[[#This Row],[Amount]]))</f>
        <v/>
      </c>
    </row>
    <row r="52" spans="1:8" x14ac:dyDescent="0.25">
      <c r="A52" s="101"/>
      <c r="B52" s="102"/>
      <c r="C52" s="102"/>
      <c r="D52" s="103"/>
      <c r="E52" s="102"/>
      <c r="F52" s="102"/>
      <c r="G52" s="104" t="str">
        <f>IF(SavingsTable[[#This Row],[Date]]="","",DATE(YEAR(SavingsTable[[#This Row],[Date]]),MONTH(SavingsTable[[#This Row],[Date]]),1))</f>
        <v/>
      </c>
      <c r="H52" s="105" t="str">
        <f>IF(SavingsTable[[#This Row],[Amount]]="","",IF(SavingsTable[[#This Row],[Transaction Type]]="Withdrawal",-SavingsTable[[#This Row],[Amount]],SavingsTable[[#This Row],[Amount]]))</f>
        <v/>
      </c>
    </row>
    <row r="53" spans="1:8" x14ac:dyDescent="0.25">
      <c r="A53" s="101"/>
      <c r="B53" s="102"/>
      <c r="C53" s="102"/>
      <c r="D53" s="103"/>
      <c r="E53" s="102"/>
      <c r="F53" s="102"/>
      <c r="G53" s="104" t="str">
        <f>IF(SavingsTable[[#This Row],[Date]]="","",DATE(YEAR(SavingsTable[[#This Row],[Date]]),MONTH(SavingsTable[[#This Row],[Date]]),1))</f>
        <v/>
      </c>
      <c r="H53" s="105" t="str">
        <f>IF(SavingsTable[[#This Row],[Amount]]="","",IF(SavingsTable[[#This Row],[Transaction Type]]="Withdrawal",-SavingsTable[[#This Row],[Amount]],SavingsTable[[#This Row],[Amount]]))</f>
        <v/>
      </c>
    </row>
    <row r="54" spans="1:8" x14ac:dyDescent="0.25">
      <c r="A54" s="101"/>
      <c r="B54" s="102"/>
      <c r="C54" s="102"/>
      <c r="D54" s="103"/>
      <c r="E54" s="102"/>
      <c r="F54" s="102"/>
      <c r="G54" s="104" t="str">
        <f>IF(SavingsTable[[#This Row],[Date]]="","",DATE(YEAR(SavingsTable[[#This Row],[Date]]),MONTH(SavingsTable[[#This Row],[Date]]),1))</f>
        <v/>
      </c>
      <c r="H54" s="105" t="str">
        <f>IF(SavingsTable[[#This Row],[Amount]]="","",IF(SavingsTable[[#This Row],[Transaction Type]]="Withdrawal",-SavingsTable[[#This Row],[Amount]],SavingsTable[[#This Row],[Amount]]))</f>
        <v/>
      </c>
    </row>
    <row r="55" spans="1:8" x14ac:dyDescent="0.25">
      <c r="A55" s="101"/>
      <c r="B55" s="102"/>
      <c r="C55" s="102"/>
      <c r="D55" s="103"/>
      <c r="E55" s="102"/>
      <c r="F55" s="102"/>
      <c r="G55" s="104" t="str">
        <f>IF(SavingsTable[[#This Row],[Date]]="","",DATE(YEAR(SavingsTable[[#This Row],[Date]]),MONTH(SavingsTable[[#This Row],[Date]]),1))</f>
        <v/>
      </c>
      <c r="H55" s="105" t="str">
        <f>IF(SavingsTable[[#This Row],[Amount]]="","",IF(SavingsTable[[#This Row],[Transaction Type]]="Withdrawal",-SavingsTable[[#This Row],[Amount]],SavingsTable[[#This Row],[Amount]]))</f>
        <v/>
      </c>
    </row>
    <row r="56" spans="1:8" x14ac:dyDescent="0.25">
      <c r="A56" s="101"/>
      <c r="B56" s="102"/>
      <c r="C56" s="102"/>
      <c r="D56" s="103"/>
      <c r="E56" s="102"/>
      <c r="F56" s="102"/>
      <c r="G56" s="104" t="str">
        <f>IF(SavingsTable[[#This Row],[Date]]="","",DATE(YEAR(SavingsTable[[#This Row],[Date]]),MONTH(SavingsTable[[#This Row],[Date]]),1))</f>
        <v/>
      </c>
      <c r="H56" s="105" t="str">
        <f>IF(SavingsTable[[#This Row],[Amount]]="","",IF(SavingsTable[[#This Row],[Transaction Type]]="Withdrawal",-SavingsTable[[#This Row],[Amount]],SavingsTable[[#This Row],[Amount]]))</f>
        <v/>
      </c>
    </row>
    <row r="57" spans="1:8" x14ac:dyDescent="0.25">
      <c r="A57" s="101"/>
      <c r="B57" s="102"/>
      <c r="C57" s="102"/>
      <c r="D57" s="103"/>
      <c r="E57" s="102"/>
      <c r="F57" s="102"/>
      <c r="G57" s="104" t="str">
        <f>IF(SavingsTable[[#This Row],[Date]]="","",DATE(YEAR(SavingsTable[[#This Row],[Date]]),MONTH(SavingsTable[[#This Row],[Date]]),1))</f>
        <v/>
      </c>
      <c r="H57" s="105" t="str">
        <f>IF(SavingsTable[[#This Row],[Amount]]="","",IF(SavingsTable[[#This Row],[Transaction Type]]="Withdrawal",-SavingsTable[[#This Row],[Amount]],SavingsTable[[#This Row],[Amount]]))</f>
        <v/>
      </c>
    </row>
    <row r="58" spans="1:8" x14ac:dyDescent="0.25">
      <c r="A58" s="101"/>
      <c r="B58" s="102"/>
      <c r="C58" s="102"/>
      <c r="D58" s="103"/>
      <c r="E58" s="102"/>
      <c r="F58" s="102"/>
      <c r="G58" s="104" t="str">
        <f>IF(SavingsTable[[#This Row],[Date]]="","",DATE(YEAR(SavingsTable[[#This Row],[Date]]),MONTH(SavingsTable[[#This Row],[Date]]),1))</f>
        <v/>
      </c>
      <c r="H58" s="105" t="str">
        <f>IF(SavingsTable[[#This Row],[Amount]]="","",IF(SavingsTable[[#This Row],[Transaction Type]]="Withdrawal",-SavingsTable[[#This Row],[Amount]],SavingsTable[[#This Row],[Amount]]))</f>
        <v/>
      </c>
    </row>
    <row r="59" spans="1:8" x14ac:dyDescent="0.25">
      <c r="A59" s="101"/>
      <c r="B59" s="102"/>
      <c r="C59" s="102"/>
      <c r="D59" s="103"/>
      <c r="E59" s="102"/>
      <c r="F59" s="102"/>
      <c r="G59" s="104" t="str">
        <f>IF(SavingsTable[[#This Row],[Date]]="","",DATE(YEAR(SavingsTable[[#This Row],[Date]]),MONTH(SavingsTable[[#This Row],[Date]]),1))</f>
        <v/>
      </c>
      <c r="H59" s="105" t="str">
        <f>IF(SavingsTable[[#This Row],[Amount]]="","",IF(SavingsTable[[#This Row],[Transaction Type]]="Withdrawal",-SavingsTable[[#This Row],[Amount]],SavingsTable[[#This Row],[Amount]]))</f>
        <v/>
      </c>
    </row>
    <row r="60" spans="1:8" x14ac:dyDescent="0.25">
      <c r="A60" s="101"/>
      <c r="B60" s="102"/>
      <c r="C60" s="102"/>
      <c r="D60" s="103"/>
      <c r="E60" s="102"/>
      <c r="F60" s="102"/>
      <c r="G60" s="104" t="str">
        <f>IF(SavingsTable[[#This Row],[Date]]="","",DATE(YEAR(SavingsTable[[#This Row],[Date]]),MONTH(SavingsTable[[#This Row],[Date]]),1))</f>
        <v/>
      </c>
      <c r="H60" s="105" t="str">
        <f>IF(SavingsTable[[#This Row],[Amount]]="","",IF(SavingsTable[[#This Row],[Transaction Type]]="Withdrawal",-SavingsTable[[#This Row],[Amount]],SavingsTable[[#This Row],[Amount]]))</f>
        <v/>
      </c>
    </row>
    <row r="61" spans="1:8" x14ac:dyDescent="0.25">
      <c r="A61" s="101"/>
      <c r="B61" s="102"/>
      <c r="C61" s="102"/>
      <c r="D61" s="103"/>
      <c r="E61" s="102"/>
      <c r="F61" s="102"/>
      <c r="G61" s="104" t="str">
        <f>IF(SavingsTable[[#This Row],[Date]]="","",DATE(YEAR(SavingsTable[[#This Row],[Date]]),MONTH(SavingsTable[[#This Row],[Date]]),1))</f>
        <v/>
      </c>
      <c r="H61" s="105" t="str">
        <f>IF(SavingsTable[[#This Row],[Amount]]="","",IF(SavingsTable[[#This Row],[Transaction Type]]="Withdrawal",-SavingsTable[[#This Row],[Amount]],SavingsTable[[#This Row],[Amount]]))</f>
        <v/>
      </c>
    </row>
    <row r="62" spans="1:8" x14ac:dyDescent="0.25">
      <c r="A62" s="101"/>
      <c r="B62" s="102"/>
      <c r="C62" s="102"/>
      <c r="D62" s="103"/>
      <c r="E62" s="102"/>
      <c r="F62" s="102"/>
      <c r="G62" s="104" t="str">
        <f>IF(SavingsTable[[#This Row],[Date]]="","",DATE(YEAR(SavingsTable[[#This Row],[Date]]),MONTH(SavingsTable[[#This Row],[Date]]),1))</f>
        <v/>
      </c>
      <c r="H62" s="105" t="str">
        <f>IF(SavingsTable[[#This Row],[Amount]]="","",IF(SavingsTable[[#This Row],[Transaction Type]]="Withdrawal",-SavingsTable[[#This Row],[Amount]],SavingsTable[[#This Row],[Amount]]))</f>
        <v/>
      </c>
    </row>
    <row r="63" spans="1:8" x14ac:dyDescent="0.25">
      <c r="A63" s="101"/>
      <c r="B63" s="102"/>
      <c r="C63" s="102"/>
      <c r="D63" s="103"/>
      <c r="E63" s="102"/>
      <c r="F63" s="102"/>
      <c r="G63" s="104" t="str">
        <f>IF(SavingsTable[[#This Row],[Date]]="","",DATE(YEAR(SavingsTable[[#This Row],[Date]]),MONTH(SavingsTable[[#This Row],[Date]]),1))</f>
        <v/>
      </c>
      <c r="H63" s="105" t="str">
        <f>IF(SavingsTable[[#This Row],[Amount]]="","",IF(SavingsTable[[#This Row],[Transaction Type]]="Withdrawal",-SavingsTable[[#This Row],[Amount]],SavingsTable[[#This Row],[Amount]]))</f>
        <v/>
      </c>
    </row>
    <row r="64" spans="1:8" x14ac:dyDescent="0.25">
      <c r="A64" s="101"/>
      <c r="B64" s="102"/>
      <c r="C64" s="102"/>
      <c r="D64" s="103"/>
      <c r="E64" s="102"/>
      <c r="F64" s="102"/>
      <c r="G64" s="104" t="str">
        <f>IF(SavingsTable[[#This Row],[Date]]="","",DATE(YEAR(SavingsTable[[#This Row],[Date]]),MONTH(SavingsTable[[#This Row],[Date]]),1))</f>
        <v/>
      </c>
      <c r="H64" s="105" t="str">
        <f>IF(SavingsTable[[#This Row],[Amount]]="","",IF(SavingsTable[[#This Row],[Transaction Type]]="Withdrawal",-SavingsTable[[#This Row],[Amount]],SavingsTable[[#This Row],[Amount]]))</f>
        <v/>
      </c>
    </row>
    <row r="65" spans="1:8" x14ac:dyDescent="0.25">
      <c r="A65" s="101"/>
      <c r="B65" s="102"/>
      <c r="C65" s="102"/>
      <c r="D65" s="103"/>
      <c r="E65" s="102"/>
      <c r="F65" s="102"/>
      <c r="G65" s="104" t="str">
        <f>IF(SavingsTable[[#This Row],[Date]]="","",DATE(YEAR(SavingsTable[[#This Row],[Date]]),MONTH(SavingsTable[[#This Row],[Date]]),1))</f>
        <v/>
      </c>
      <c r="H65" s="105" t="str">
        <f>IF(SavingsTable[[#This Row],[Amount]]="","",IF(SavingsTable[[#This Row],[Transaction Type]]="Withdrawal",-SavingsTable[[#This Row],[Amount]],SavingsTable[[#This Row],[Amount]]))</f>
        <v/>
      </c>
    </row>
    <row r="66" spans="1:8" x14ac:dyDescent="0.25">
      <c r="A66" s="101"/>
      <c r="B66" s="102"/>
      <c r="C66" s="102"/>
      <c r="D66" s="103"/>
      <c r="E66" s="102"/>
      <c r="F66" s="102"/>
      <c r="G66" s="104" t="str">
        <f>IF(SavingsTable[[#This Row],[Date]]="","",DATE(YEAR(SavingsTable[[#This Row],[Date]]),MONTH(SavingsTable[[#This Row],[Date]]),1))</f>
        <v/>
      </c>
      <c r="H66" s="105" t="str">
        <f>IF(SavingsTable[[#This Row],[Amount]]="","",IF(SavingsTable[[#This Row],[Transaction Type]]="Withdrawal",-SavingsTable[[#This Row],[Amount]],SavingsTable[[#This Row],[Amount]]))</f>
        <v/>
      </c>
    </row>
    <row r="67" spans="1:8" x14ac:dyDescent="0.25">
      <c r="A67" s="101"/>
      <c r="B67" s="102"/>
      <c r="C67" s="102"/>
      <c r="D67" s="103"/>
      <c r="E67" s="102"/>
      <c r="F67" s="102"/>
      <c r="G67" s="104" t="str">
        <f>IF(SavingsTable[[#This Row],[Date]]="","",DATE(YEAR(SavingsTable[[#This Row],[Date]]),MONTH(SavingsTable[[#This Row],[Date]]),1))</f>
        <v/>
      </c>
      <c r="H67" s="105" t="str">
        <f>IF(SavingsTable[[#This Row],[Amount]]="","",IF(SavingsTable[[#This Row],[Transaction Type]]="Withdrawal",-SavingsTable[[#This Row],[Amount]],SavingsTable[[#This Row],[Amount]]))</f>
        <v/>
      </c>
    </row>
    <row r="68" spans="1:8" x14ac:dyDescent="0.25">
      <c r="A68" s="101"/>
      <c r="B68" s="102"/>
      <c r="C68" s="102"/>
      <c r="D68" s="103"/>
      <c r="E68" s="102"/>
      <c r="F68" s="102"/>
      <c r="G68" s="104" t="str">
        <f>IF(SavingsTable[[#This Row],[Date]]="","",DATE(YEAR(SavingsTable[[#This Row],[Date]]),MONTH(SavingsTable[[#This Row],[Date]]),1))</f>
        <v/>
      </c>
      <c r="H68" s="105" t="str">
        <f>IF(SavingsTable[[#This Row],[Amount]]="","",IF(SavingsTable[[#This Row],[Transaction Type]]="Withdrawal",-SavingsTable[[#This Row],[Amount]],SavingsTable[[#This Row],[Amount]]))</f>
        <v/>
      </c>
    </row>
    <row r="69" spans="1:8" x14ac:dyDescent="0.25">
      <c r="A69" s="101"/>
      <c r="B69" s="102"/>
      <c r="C69" s="102"/>
      <c r="D69" s="103"/>
      <c r="E69" s="102"/>
      <c r="F69" s="102"/>
      <c r="G69" s="104" t="str">
        <f>IF(SavingsTable[[#This Row],[Date]]="","",DATE(YEAR(SavingsTable[[#This Row],[Date]]),MONTH(SavingsTable[[#This Row],[Date]]),1))</f>
        <v/>
      </c>
      <c r="H69" s="105" t="str">
        <f>IF(SavingsTable[[#This Row],[Amount]]="","",IF(SavingsTable[[#This Row],[Transaction Type]]="Withdrawal",-SavingsTable[[#This Row],[Amount]],SavingsTable[[#This Row],[Amount]]))</f>
        <v/>
      </c>
    </row>
    <row r="70" spans="1:8" x14ac:dyDescent="0.25">
      <c r="A70" s="101"/>
      <c r="B70" s="102"/>
      <c r="C70" s="102"/>
      <c r="D70" s="103"/>
      <c r="E70" s="102"/>
      <c r="F70" s="102"/>
      <c r="G70" s="104" t="str">
        <f>IF(SavingsTable[[#This Row],[Date]]="","",DATE(YEAR(SavingsTable[[#This Row],[Date]]),MONTH(SavingsTable[[#This Row],[Date]]),1))</f>
        <v/>
      </c>
      <c r="H70" s="105" t="str">
        <f>IF(SavingsTable[[#This Row],[Amount]]="","",IF(SavingsTable[[#This Row],[Transaction Type]]="Withdrawal",-SavingsTable[[#This Row],[Amount]],SavingsTable[[#This Row],[Amount]]))</f>
        <v/>
      </c>
    </row>
    <row r="71" spans="1:8" x14ac:dyDescent="0.25">
      <c r="A71" s="101"/>
      <c r="B71" s="102"/>
      <c r="C71" s="102"/>
      <c r="D71" s="103"/>
      <c r="E71" s="102"/>
      <c r="F71" s="102"/>
      <c r="G71" s="104" t="str">
        <f>IF(SavingsTable[[#This Row],[Date]]="","",DATE(YEAR(SavingsTable[[#This Row],[Date]]),MONTH(SavingsTable[[#This Row],[Date]]),1))</f>
        <v/>
      </c>
      <c r="H71" s="105" t="str">
        <f>IF(SavingsTable[[#This Row],[Amount]]="","",IF(SavingsTable[[#This Row],[Transaction Type]]="Withdrawal",-SavingsTable[[#This Row],[Amount]],SavingsTable[[#This Row],[Amount]]))</f>
        <v/>
      </c>
    </row>
    <row r="72" spans="1:8" x14ac:dyDescent="0.25">
      <c r="A72" s="101"/>
      <c r="B72" s="102"/>
      <c r="C72" s="102"/>
      <c r="D72" s="103"/>
      <c r="E72" s="102"/>
      <c r="F72" s="102"/>
      <c r="G72" s="104" t="str">
        <f>IF(SavingsTable[[#This Row],[Date]]="","",DATE(YEAR(SavingsTable[[#This Row],[Date]]),MONTH(SavingsTable[[#This Row],[Date]]),1))</f>
        <v/>
      </c>
      <c r="H72" s="105" t="str">
        <f>IF(SavingsTable[[#This Row],[Amount]]="","",IF(SavingsTable[[#This Row],[Transaction Type]]="Withdrawal",-SavingsTable[[#This Row],[Amount]],SavingsTable[[#This Row],[Amount]]))</f>
        <v/>
      </c>
    </row>
    <row r="73" spans="1:8" x14ac:dyDescent="0.25">
      <c r="A73" s="101"/>
      <c r="B73" s="102"/>
      <c r="C73" s="102"/>
      <c r="D73" s="103"/>
      <c r="E73" s="102"/>
      <c r="F73" s="102"/>
      <c r="G73" s="104" t="str">
        <f>IF(SavingsTable[[#This Row],[Date]]="","",DATE(YEAR(SavingsTable[[#This Row],[Date]]),MONTH(SavingsTable[[#This Row],[Date]]),1))</f>
        <v/>
      </c>
      <c r="H73" s="105" t="str">
        <f>IF(SavingsTable[[#This Row],[Amount]]="","",IF(SavingsTable[[#This Row],[Transaction Type]]="Withdrawal",-SavingsTable[[#This Row],[Amount]],SavingsTable[[#This Row],[Amount]]))</f>
        <v/>
      </c>
    </row>
    <row r="74" spans="1:8" x14ac:dyDescent="0.25">
      <c r="A74" s="101"/>
      <c r="B74" s="102"/>
      <c r="C74" s="102"/>
      <c r="D74" s="103"/>
      <c r="E74" s="102"/>
      <c r="F74" s="102"/>
      <c r="G74" s="104" t="str">
        <f>IF(SavingsTable[[#This Row],[Date]]="","",DATE(YEAR(SavingsTable[[#This Row],[Date]]),MONTH(SavingsTable[[#This Row],[Date]]),1))</f>
        <v/>
      </c>
      <c r="H74" s="105" t="str">
        <f>IF(SavingsTable[[#This Row],[Amount]]="","",IF(SavingsTable[[#This Row],[Transaction Type]]="Withdrawal",-SavingsTable[[#This Row],[Amount]],SavingsTable[[#This Row],[Amount]]))</f>
        <v/>
      </c>
    </row>
    <row r="75" spans="1:8" x14ac:dyDescent="0.25">
      <c r="A75" s="101"/>
      <c r="B75" s="102"/>
      <c r="C75" s="102"/>
      <c r="D75" s="103"/>
      <c r="E75" s="102"/>
      <c r="F75" s="102"/>
      <c r="G75" s="104" t="str">
        <f>IF(SavingsTable[[#This Row],[Date]]="","",DATE(YEAR(SavingsTable[[#This Row],[Date]]),MONTH(SavingsTable[[#This Row],[Date]]),1))</f>
        <v/>
      </c>
      <c r="H75" s="105" t="str">
        <f>IF(SavingsTable[[#This Row],[Amount]]="","",IF(SavingsTable[[#This Row],[Transaction Type]]="Withdrawal",-SavingsTable[[#This Row],[Amount]],SavingsTable[[#This Row],[Amount]]))</f>
        <v/>
      </c>
    </row>
    <row r="76" spans="1:8" x14ac:dyDescent="0.25">
      <c r="A76" s="101"/>
      <c r="B76" s="102"/>
      <c r="C76" s="102"/>
      <c r="D76" s="103"/>
      <c r="E76" s="102"/>
      <c r="F76" s="102"/>
      <c r="G76" s="104" t="str">
        <f>IF(SavingsTable[[#This Row],[Date]]="","",DATE(YEAR(SavingsTable[[#This Row],[Date]]),MONTH(SavingsTable[[#This Row],[Date]]),1))</f>
        <v/>
      </c>
      <c r="H76" s="105" t="str">
        <f>IF(SavingsTable[[#This Row],[Amount]]="","",IF(SavingsTable[[#This Row],[Transaction Type]]="Withdrawal",-SavingsTable[[#This Row],[Amount]],SavingsTable[[#This Row],[Amount]]))</f>
        <v/>
      </c>
    </row>
    <row r="77" spans="1:8" x14ac:dyDescent="0.25">
      <c r="A77" s="101"/>
      <c r="B77" s="102"/>
      <c r="C77" s="102"/>
      <c r="D77" s="103"/>
      <c r="E77" s="102"/>
      <c r="F77" s="102"/>
      <c r="G77" s="104" t="str">
        <f>IF(SavingsTable[[#This Row],[Date]]="","",DATE(YEAR(SavingsTable[[#This Row],[Date]]),MONTH(SavingsTable[[#This Row],[Date]]),1))</f>
        <v/>
      </c>
      <c r="H77" s="105" t="str">
        <f>IF(SavingsTable[[#This Row],[Amount]]="","",IF(SavingsTable[[#This Row],[Transaction Type]]="Withdrawal",-SavingsTable[[#This Row],[Amount]],SavingsTable[[#This Row],[Amount]]))</f>
        <v/>
      </c>
    </row>
    <row r="78" spans="1:8" x14ac:dyDescent="0.25">
      <c r="A78" s="101"/>
      <c r="B78" s="102"/>
      <c r="C78" s="102"/>
      <c r="D78" s="103"/>
      <c r="E78" s="102"/>
      <c r="F78" s="102"/>
      <c r="G78" s="104" t="str">
        <f>IF(SavingsTable[[#This Row],[Date]]="","",DATE(YEAR(SavingsTable[[#This Row],[Date]]),MONTH(SavingsTable[[#This Row],[Date]]),1))</f>
        <v/>
      </c>
      <c r="H78" s="105" t="str">
        <f>IF(SavingsTable[[#This Row],[Amount]]="","",IF(SavingsTable[[#This Row],[Transaction Type]]="Withdrawal",-SavingsTable[[#This Row],[Amount]],SavingsTable[[#This Row],[Amount]]))</f>
        <v/>
      </c>
    </row>
    <row r="79" spans="1:8" x14ac:dyDescent="0.25">
      <c r="A79" s="101"/>
      <c r="B79" s="102"/>
      <c r="C79" s="102"/>
      <c r="D79" s="103"/>
      <c r="E79" s="102"/>
      <c r="F79" s="102"/>
      <c r="G79" s="104" t="str">
        <f>IF(SavingsTable[[#This Row],[Date]]="","",DATE(YEAR(SavingsTable[[#This Row],[Date]]),MONTH(SavingsTable[[#This Row],[Date]]),1))</f>
        <v/>
      </c>
      <c r="H79" s="105" t="str">
        <f>IF(SavingsTable[[#This Row],[Amount]]="","",IF(SavingsTable[[#This Row],[Transaction Type]]="Withdrawal",-SavingsTable[[#This Row],[Amount]],SavingsTable[[#This Row],[Amount]]))</f>
        <v/>
      </c>
    </row>
    <row r="80" spans="1:8" x14ac:dyDescent="0.25">
      <c r="A80" s="101"/>
      <c r="B80" s="102"/>
      <c r="C80" s="102"/>
      <c r="D80" s="103"/>
      <c r="E80" s="102"/>
      <c r="F80" s="102"/>
      <c r="G80" s="104" t="str">
        <f>IF(SavingsTable[[#This Row],[Date]]="","",DATE(YEAR(SavingsTable[[#This Row],[Date]]),MONTH(SavingsTable[[#This Row],[Date]]),1))</f>
        <v/>
      </c>
      <c r="H80" s="105" t="str">
        <f>IF(SavingsTable[[#This Row],[Amount]]="","",IF(SavingsTable[[#This Row],[Transaction Type]]="Withdrawal",-SavingsTable[[#This Row],[Amount]],SavingsTable[[#This Row],[Amount]]))</f>
        <v/>
      </c>
    </row>
    <row r="81" spans="1:8" x14ac:dyDescent="0.25">
      <c r="A81" s="101"/>
      <c r="B81" s="102"/>
      <c r="C81" s="102"/>
      <c r="D81" s="103"/>
      <c r="E81" s="102"/>
      <c r="F81" s="102"/>
      <c r="G81" s="104" t="str">
        <f>IF(SavingsTable[[#This Row],[Date]]="","",DATE(YEAR(SavingsTable[[#This Row],[Date]]),MONTH(SavingsTable[[#This Row],[Date]]),1))</f>
        <v/>
      </c>
      <c r="H81" s="105" t="str">
        <f>IF(SavingsTable[[#This Row],[Amount]]="","",IF(SavingsTable[[#This Row],[Transaction Type]]="Withdrawal",-SavingsTable[[#This Row],[Amount]],SavingsTable[[#This Row],[Amount]]))</f>
        <v/>
      </c>
    </row>
    <row r="82" spans="1:8" x14ac:dyDescent="0.25">
      <c r="A82" s="101"/>
      <c r="B82" s="102"/>
      <c r="C82" s="102"/>
      <c r="D82" s="103"/>
      <c r="E82" s="102"/>
      <c r="F82" s="102"/>
      <c r="G82" s="104" t="str">
        <f>IF(SavingsTable[[#This Row],[Date]]="","",DATE(YEAR(SavingsTable[[#This Row],[Date]]),MONTH(SavingsTable[[#This Row],[Date]]),1))</f>
        <v/>
      </c>
      <c r="H82" s="105" t="str">
        <f>IF(SavingsTable[[#This Row],[Amount]]="","",IF(SavingsTable[[#This Row],[Transaction Type]]="Withdrawal",-SavingsTable[[#This Row],[Amount]],SavingsTable[[#This Row],[Amount]]))</f>
        <v/>
      </c>
    </row>
    <row r="83" spans="1:8" x14ac:dyDescent="0.25">
      <c r="A83" s="101"/>
      <c r="B83" s="102"/>
      <c r="C83" s="102"/>
      <c r="D83" s="103"/>
      <c r="E83" s="102"/>
      <c r="F83" s="102"/>
      <c r="G83" s="104" t="str">
        <f>IF(SavingsTable[[#This Row],[Date]]="","",DATE(YEAR(SavingsTable[[#This Row],[Date]]),MONTH(SavingsTable[[#This Row],[Date]]),1))</f>
        <v/>
      </c>
      <c r="H83" s="105" t="str">
        <f>IF(SavingsTable[[#This Row],[Amount]]="","",IF(SavingsTable[[#This Row],[Transaction Type]]="Withdrawal",-SavingsTable[[#This Row],[Amount]],SavingsTable[[#This Row],[Amount]]))</f>
        <v/>
      </c>
    </row>
    <row r="84" spans="1:8" x14ac:dyDescent="0.25">
      <c r="A84" s="101"/>
      <c r="B84" s="102"/>
      <c r="C84" s="102"/>
      <c r="D84" s="103"/>
      <c r="E84" s="102"/>
      <c r="F84" s="102"/>
      <c r="G84" s="104" t="str">
        <f>IF(SavingsTable[[#This Row],[Date]]="","",DATE(YEAR(SavingsTable[[#This Row],[Date]]),MONTH(SavingsTable[[#This Row],[Date]]),1))</f>
        <v/>
      </c>
      <c r="H84" s="105" t="str">
        <f>IF(SavingsTable[[#This Row],[Amount]]="","",IF(SavingsTable[[#This Row],[Transaction Type]]="Withdrawal",-SavingsTable[[#This Row],[Amount]],SavingsTable[[#This Row],[Amount]]))</f>
        <v/>
      </c>
    </row>
    <row r="85" spans="1:8" x14ac:dyDescent="0.25">
      <c r="A85" s="101"/>
      <c r="B85" s="102"/>
      <c r="C85" s="102"/>
      <c r="D85" s="103"/>
      <c r="E85" s="102"/>
      <c r="F85" s="102"/>
      <c r="G85" s="104" t="str">
        <f>IF(SavingsTable[[#This Row],[Date]]="","",DATE(YEAR(SavingsTable[[#This Row],[Date]]),MONTH(SavingsTable[[#This Row],[Date]]),1))</f>
        <v/>
      </c>
      <c r="H85" s="105" t="str">
        <f>IF(SavingsTable[[#This Row],[Amount]]="","",IF(SavingsTable[[#This Row],[Transaction Type]]="Withdrawal",-SavingsTable[[#This Row],[Amount]],SavingsTable[[#This Row],[Amount]]))</f>
        <v/>
      </c>
    </row>
    <row r="86" spans="1:8" x14ac:dyDescent="0.25">
      <c r="A86" s="101"/>
      <c r="B86" s="102"/>
      <c r="C86" s="102"/>
      <c r="D86" s="103"/>
      <c r="E86" s="102"/>
      <c r="F86" s="102"/>
      <c r="G86" s="104" t="str">
        <f>IF(SavingsTable[[#This Row],[Date]]="","",DATE(YEAR(SavingsTable[[#This Row],[Date]]),MONTH(SavingsTable[[#This Row],[Date]]),1))</f>
        <v/>
      </c>
      <c r="H86" s="105" t="str">
        <f>IF(SavingsTable[[#This Row],[Amount]]="","",IF(SavingsTable[[#This Row],[Transaction Type]]="Withdrawal",-SavingsTable[[#This Row],[Amount]],SavingsTable[[#This Row],[Amount]]))</f>
        <v/>
      </c>
    </row>
    <row r="87" spans="1:8" x14ac:dyDescent="0.25">
      <c r="A87" s="101"/>
      <c r="B87" s="102"/>
      <c r="C87" s="102"/>
      <c r="D87" s="103"/>
      <c r="E87" s="102"/>
      <c r="F87" s="102"/>
      <c r="G87" s="104" t="str">
        <f>IF(SavingsTable[[#This Row],[Date]]="","",DATE(YEAR(SavingsTable[[#This Row],[Date]]),MONTH(SavingsTable[[#This Row],[Date]]),1))</f>
        <v/>
      </c>
      <c r="H87" s="105" t="str">
        <f>IF(SavingsTable[[#This Row],[Amount]]="","",IF(SavingsTable[[#This Row],[Transaction Type]]="Withdrawal",-SavingsTable[[#This Row],[Amount]],SavingsTable[[#This Row],[Amount]]))</f>
        <v/>
      </c>
    </row>
    <row r="88" spans="1:8" x14ac:dyDescent="0.25">
      <c r="A88" s="101"/>
      <c r="B88" s="102"/>
      <c r="C88" s="102"/>
      <c r="D88" s="103"/>
      <c r="E88" s="102"/>
      <c r="F88" s="102"/>
      <c r="G88" s="104" t="str">
        <f>IF(SavingsTable[[#This Row],[Date]]="","",DATE(YEAR(SavingsTable[[#This Row],[Date]]),MONTH(SavingsTable[[#This Row],[Date]]),1))</f>
        <v/>
      </c>
      <c r="H88" s="105" t="str">
        <f>IF(SavingsTable[[#This Row],[Amount]]="","",IF(SavingsTable[[#This Row],[Transaction Type]]="Withdrawal",-SavingsTable[[#This Row],[Amount]],SavingsTable[[#This Row],[Amount]]))</f>
        <v/>
      </c>
    </row>
    <row r="89" spans="1:8" x14ac:dyDescent="0.25">
      <c r="A89" s="101"/>
      <c r="B89" s="102"/>
      <c r="C89" s="102"/>
      <c r="D89" s="103"/>
      <c r="E89" s="102"/>
      <c r="F89" s="102"/>
      <c r="G89" s="104" t="str">
        <f>IF(SavingsTable[[#This Row],[Date]]="","",DATE(YEAR(SavingsTable[[#This Row],[Date]]),MONTH(SavingsTable[[#This Row],[Date]]),1))</f>
        <v/>
      </c>
      <c r="H89" s="105" t="str">
        <f>IF(SavingsTable[[#This Row],[Amount]]="","",IF(SavingsTable[[#This Row],[Transaction Type]]="Withdrawal",-SavingsTable[[#This Row],[Amount]],SavingsTable[[#This Row],[Amount]]))</f>
        <v/>
      </c>
    </row>
    <row r="90" spans="1:8" x14ac:dyDescent="0.25">
      <c r="A90" s="101"/>
      <c r="B90" s="102"/>
      <c r="C90" s="102"/>
      <c r="D90" s="103"/>
      <c r="E90" s="102"/>
      <c r="F90" s="102"/>
      <c r="G90" s="104" t="str">
        <f>IF(SavingsTable[[#This Row],[Date]]="","",DATE(YEAR(SavingsTable[[#This Row],[Date]]),MONTH(SavingsTable[[#This Row],[Date]]),1))</f>
        <v/>
      </c>
      <c r="H90" s="105" t="str">
        <f>IF(SavingsTable[[#This Row],[Amount]]="","",IF(SavingsTable[[#This Row],[Transaction Type]]="Withdrawal",-SavingsTable[[#This Row],[Amount]],SavingsTable[[#This Row],[Amount]]))</f>
        <v/>
      </c>
    </row>
    <row r="91" spans="1:8" x14ac:dyDescent="0.25">
      <c r="A91" s="101"/>
      <c r="B91" s="102"/>
      <c r="C91" s="102"/>
      <c r="D91" s="103"/>
      <c r="E91" s="102"/>
      <c r="F91" s="102"/>
      <c r="G91" s="104" t="str">
        <f>IF(SavingsTable[[#This Row],[Date]]="","",DATE(YEAR(SavingsTable[[#This Row],[Date]]),MONTH(SavingsTable[[#This Row],[Date]]),1))</f>
        <v/>
      </c>
      <c r="H91" s="105" t="str">
        <f>IF(SavingsTable[[#This Row],[Amount]]="","",IF(SavingsTable[[#This Row],[Transaction Type]]="Withdrawal",-SavingsTable[[#This Row],[Amount]],SavingsTable[[#This Row],[Amount]]))</f>
        <v/>
      </c>
    </row>
    <row r="92" spans="1:8" x14ac:dyDescent="0.25">
      <c r="A92" s="101"/>
      <c r="B92" s="102"/>
      <c r="C92" s="102"/>
      <c r="D92" s="103"/>
      <c r="E92" s="102"/>
      <c r="F92" s="102"/>
      <c r="G92" s="104" t="str">
        <f>IF(SavingsTable[[#This Row],[Date]]="","",DATE(YEAR(SavingsTable[[#This Row],[Date]]),MONTH(SavingsTable[[#This Row],[Date]]),1))</f>
        <v/>
      </c>
      <c r="H92" s="105" t="str">
        <f>IF(SavingsTable[[#This Row],[Amount]]="","",IF(SavingsTable[[#This Row],[Transaction Type]]="Withdrawal",-SavingsTable[[#This Row],[Amount]],SavingsTable[[#This Row],[Amount]]))</f>
        <v/>
      </c>
    </row>
    <row r="93" spans="1:8" x14ac:dyDescent="0.25">
      <c r="A93" s="101"/>
      <c r="B93" s="102"/>
      <c r="C93" s="102"/>
      <c r="D93" s="103"/>
      <c r="E93" s="102"/>
      <c r="F93" s="102"/>
      <c r="G93" s="104" t="str">
        <f>IF(SavingsTable[[#This Row],[Date]]="","",DATE(YEAR(SavingsTable[[#This Row],[Date]]),MONTH(SavingsTable[[#This Row],[Date]]),1))</f>
        <v/>
      </c>
      <c r="H93" s="105" t="str">
        <f>IF(SavingsTable[[#This Row],[Amount]]="","",IF(SavingsTable[[#This Row],[Transaction Type]]="Withdrawal",-SavingsTable[[#This Row],[Amount]],SavingsTable[[#This Row],[Amount]]))</f>
        <v/>
      </c>
    </row>
    <row r="94" spans="1:8" x14ac:dyDescent="0.25">
      <c r="A94" s="101"/>
      <c r="B94" s="102"/>
      <c r="C94" s="102"/>
      <c r="D94" s="103"/>
      <c r="E94" s="102"/>
      <c r="F94" s="102"/>
      <c r="G94" s="104" t="str">
        <f>IF(SavingsTable[[#This Row],[Date]]="","",DATE(YEAR(SavingsTable[[#This Row],[Date]]),MONTH(SavingsTable[[#This Row],[Date]]),1))</f>
        <v/>
      </c>
      <c r="H94" s="105" t="str">
        <f>IF(SavingsTable[[#This Row],[Amount]]="","",IF(SavingsTable[[#This Row],[Transaction Type]]="Withdrawal",-SavingsTable[[#This Row],[Amount]],SavingsTable[[#This Row],[Amount]]))</f>
        <v/>
      </c>
    </row>
    <row r="95" spans="1:8" x14ac:dyDescent="0.25">
      <c r="A95" s="101"/>
      <c r="B95" s="102"/>
      <c r="C95" s="102"/>
      <c r="D95" s="103"/>
      <c r="E95" s="102"/>
      <c r="F95" s="102"/>
      <c r="G95" s="104" t="str">
        <f>IF(SavingsTable[[#This Row],[Date]]="","",DATE(YEAR(SavingsTable[[#This Row],[Date]]),MONTH(SavingsTable[[#This Row],[Date]]),1))</f>
        <v/>
      </c>
      <c r="H95" s="105" t="str">
        <f>IF(SavingsTable[[#This Row],[Amount]]="","",IF(SavingsTable[[#This Row],[Transaction Type]]="Withdrawal",-SavingsTable[[#This Row],[Amount]],SavingsTable[[#This Row],[Amount]]))</f>
        <v/>
      </c>
    </row>
    <row r="96" spans="1:8" x14ac:dyDescent="0.25">
      <c r="A96" s="101"/>
      <c r="B96" s="102"/>
      <c r="C96" s="102"/>
      <c r="D96" s="103"/>
      <c r="E96" s="102"/>
      <c r="F96" s="102"/>
      <c r="G96" s="104" t="str">
        <f>IF(SavingsTable[[#This Row],[Date]]="","",DATE(YEAR(SavingsTable[[#This Row],[Date]]),MONTH(SavingsTable[[#This Row],[Date]]),1))</f>
        <v/>
      </c>
      <c r="H96" s="105" t="str">
        <f>IF(SavingsTable[[#This Row],[Amount]]="","",IF(SavingsTable[[#This Row],[Transaction Type]]="Withdrawal",-SavingsTable[[#This Row],[Amount]],SavingsTable[[#This Row],[Amount]]))</f>
        <v/>
      </c>
    </row>
    <row r="97" spans="1:8" x14ac:dyDescent="0.25">
      <c r="A97" s="101"/>
      <c r="B97" s="102"/>
      <c r="C97" s="102"/>
      <c r="D97" s="103"/>
      <c r="E97" s="102"/>
      <c r="F97" s="102"/>
      <c r="G97" s="104" t="str">
        <f>IF(SavingsTable[[#This Row],[Date]]="","",DATE(YEAR(SavingsTable[[#This Row],[Date]]),MONTH(SavingsTable[[#This Row],[Date]]),1))</f>
        <v/>
      </c>
      <c r="H97" s="105" t="str">
        <f>IF(SavingsTable[[#This Row],[Amount]]="","",IF(SavingsTable[[#This Row],[Transaction Type]]="Withdrawal",-SavingsTable[[#This Row],[Amount]],SavingsTable[[#This Row],[Amount]]))</f>
        <v/>
      </c>
    </row>
    <row r="98" spans="1:8" x14ac:dyDescent="0.25">
      <c r="A98" s="101"/>
      <c r="B98" s="102"/>
      <c r="C98" s="102"/>
      <c r="D98" s="103"/>
      <c r="E98" s="102"/>
      <c r="F98" s="102"/>
      <c r="G98" s="104" t="str">
        <f>IF(SavingsTable[[#This Row],[Date]]="","",DATE(YEAR(SavingsTable[[#This Row],[Date]]),MONTH(SavingsTable[[#This Row],[Date]]),1))</f>
        <v/>
      </c>
      <c r="H98" s="105" t="str">
        <f>IF(SavingsTable[[#This Row],[Amount]]="","",IF(SavingsTable[[#This Row],[Transaction Type]]="Withdrawal",-SavingsTable[[#This Row],[Amount]],SavingsTable[[#This Row],[Amount]]))</f>
        <v/>
      </c>
    </row>
    <row r="99" spans="1:8" x14ac:dyDescent="0.25">
      <c r="A99" s="101"/>
      <c r="B99" s="102"/>
      <c r="C99" s="102"/>
      <c r="D99" s="103"/>
      <c r="E99" s="102"/>
      <c r="F99" s="102"/>
      <c r="G99" s="104" t="str">
        <f>IF(SavingsTable[[#This Row],[Date]]="","",DATE(YEAR(SavingsTable[[#This Row],[Date]]),MONTH(SavingsTable[[#This Row],[Date]]),1))</f>
        <v/>
      </c>
      <c r="H99" s="105" t="str">
        <f>IF(SavingsTable[[#This Row],[Amount]]="","",IF(SavingsTable[[#This Row],[Transaction Type]]="Withdrawal",-SavingsTable[[#This Row],[Amount]],SavingsTable[[#This Row],[Amount]]))</f>
        <v/>
      </c>
    </row>
    <row r="100" spans="1:8" x14ac:dyDescent="0.25">
      <c r="A100" s="101"/>
      <c r="B100" s="102"/>
      <c r="C100" s="102"/>
      <c r="D100" s="103"/>
      <c r="E100" s="102"/>
      <c r="F100" s="102"/>
      <c r="G100" s="104" t="str">
        <f>IF(SavingsTable[[#This Row],[Date]]="","",DATE(YEAR(SavingsTable[[#This Row],[Date]]),MONTH(SavingsTable[[#This Row],[Date]]),1))</f>
        <v/>
      </c>
      <c r="H100" s="105" t="str">
        <f>IF(SavingsTable[[#This Row],[Amount]]="","",IF(SavingsTable[[#This Row],[Transaction Type]]="Withdrawal",-SavingsTable[[#This Row],[Amount]],SavingsTable[[#This Row],[Amount]]))</f>
        <v/>
      </c>
    </row>
    <row r="101" spans="1:8" x14ac:dyDescent="0.25">
      <c r="A101" s="101"/>
      <c r="B101" s="102"/>
      <c r="C101" s="102"/>
      <c r="D101" s="103"/>
      <c r="E101" s="102"/>
      <c r="F101" s="102"/>
      <c r="G101" s="104" t="str">
        <f>IF(SavingsTable[[#This Row],[Date]]="","",DATE(YEAR(SavingsTable[[#This Row],[Date]]),MONTH(SavingsTable[[#This Row],[Date]]),1))</f>
        <v/>
      </c>
      <c r="H101" s="105" t="str">
        <f>IF(SavingsTable[[#This Row],[Amount]]="","",IF(SavingsTable[[#This Row],[Transaction Type]]="Withdrawal",-SavingsTable[[#This Row],[Amount]],SavingsTable[[#This Row],[Amount]]))</f>
        <v/>
      </c>
    </row>
    <row r="102" spans="1:8" x14ac:dyDescent="0.25">
      <c r="A102" s="101"/>
      <c r="B102" s="102"/>
      <c r="C102" s="102"/>
      <c r="D102" s="103"/>
      <c r="E102" s="102"/>
      <c r="F102" s="102"/>
      <c r="G102" s="104" t="str">
        <f>IF(SavingsTable[[#This Row],[Date]]="","",DATE(YEAR(SavingsTable[[#This Row],[Date]]),MONTH(SavingsTable[[#This Row],[Date]]),1))</f>
        <v/>
      </c>
      <c r="H102" s="105" t="str">
        <f>IF(SavingsTable[[#This Row],[Amount]]="","",IF(SavingsTable[[#This Row],[Transaction Type]]="Withdrawal",-SavingsTable[[#This Row],[Amount]],SavingsTable[[#This Row],[Amount]]))</f>
        <v/>
      </c>
    </row>
    <row r="103" spans="1:8" x14ac:dyDescent="0.25">
      <c r="A103" s="101"/>
      <c r="B103" s="102"/>
      <c r="C103" s="102"/>
      <c r="D103" s="103"/>
      <c r="E103" s="102"/>
      <c r="F103" s="102"/>
      <c r="G103" s="104" t="str">
        <f>IF(SavingsTable[[#This Row],[Date]]="","",DATE(YEAR(SavingsTable[[#This Row],[Date]]),MONTH(SavingsTable[[#This Row],[Date]]),1))</f>
        <v/>
      </c>
      <c r="H103" s="105" t="str">
        <f>IF(SavingsTable[[#This Row],[Amount]]="","",IF(SavingsTable[[#This Row],[Transaction Type]]="Withdrawal",-SavingsTable[[#This Row],[Amount]],SavingsTable[[#This Row],[Amount]]))</f>
        <v/>
      </c>
    </row>
    <row r="104" spans="1:8" x14ac:dyDescent="0.25">
      <c r="A104" s="106"/>
      <c r="B104" s="107"/>
      <c r="C104" s="107"/>
      <c r="D104" s="108"/>
      <c r="E104" s="107"/>
      <c r="F104" s="107"/>
      <c r="G104" s="109" t="str">
        <f>IF(SavingsTable[[#This Row],[Date]]="","",DATE(YEAR(SavingsTable[[#This Row],[Date]]),MONTH(SavingsTable[[#This Row],[Date]]),1))</f>
        <v/>
      </c>
      <c r="H104" s="110" t="str">
        <f>IF(SavingsTable[[#This Row],[Amount]]="","",IF(SavingsTable[[#This Row],[Transaction Type]]="Withdrawal",-SavingsTable[[#This Row],[Amount]],SavingsTable[[#This Row],[Amount]]))</f>
        <v/>
      </c>
    </row>
    <row r="105" spans="1:8" x14ac:dyDescent="0.25">
      <c r="A105" s="95"/>
      <c r="B105" s="95"/>
      <c r="C105" s="95"/>
      <c r="D105" s="95"/>
      <c r="E105" s="95"/>
      <c r="F105" s="95"/>
      <c r="G105" s="95"/>
      <c r="H105" s="95"/>
    </row>
    <row r="106" spans="1:8" x14ac:dyDescent="0.25">
      <c r="A106" s="96" t="s">
        <v>92</v>
      </c>
      <c r="B106" s="97">
        <f>SUM(SavingsTable[Signed Amount])</f>
        <v>159730</v>
      </c>
      <c r="C106" s="95"/>
      <c r="D106" s="95"/>
      <c r="E106" s="95"/>
      <c r="F106" s="95"/>
      <c r="G106" s="95"/>
      <c r="H106" s="95"/>
    </row>
    <row r="107" spans="1:8" x14ac:dyDescent="0.25">
      <c r="A107" s="96" t="s">
        <v>93</v>
      </c>
      <c r="B107" s="97">
        <f>SUMIFS(SavingsTable[Amount],SavingsTable[Transaction Type],"Contribution")</f>
        <v>203600</v>
      </c>
      <c r="C107" s="95"/>
      <c r="D107" s="95"/>
      <c r="E107" s="95"/>
      <c r="F107" s="95"/>
      <c r="G107" s="95"/>
      <c r="H107" s="95"/>
    </row>
    <row r="108" spans="1:8" x14ac:dyDescent="0.25">
      <c r="A108" s="96" t="s">
        <v>94</v>
      </c>
      <c r="B108" s="97">
        <f>SUMIFS(SavingsTable[Amount],SavingsTable[Transaction Type],"Withdrawal")</f>
        <v>43870</v>
      </c>
      <c r="C108" s="95"/>
      <c r="D108" s="95"/>
      <c r="E108" s="95"/>
      <c r="F108" s="95"/>
      <c r="G108" s="95"/>
      <c r="H108" s="95"/>
    </row>
    <row r="109" spans="1:8" x14ac:dyDescent="0.25">
      <c r="A109" s="96" t="s">
        <v>95</v>
      </c>
      <c r="B109" s="97">
        <f>SUMIFS(SavingsTable[Signed Amount],SavingsTable[Fund],"Emergency Fund")</f>
        <v>144000</v>
      </c>
      <c r="C109" s="95"/>
      <c r="D109" s="95"/>
      <c r="E109" s="95"/>
      <c r="F109" s="95"/>
      <c r="G109" s="95"/>
      <c r="H109" s="95"/>
    </row>
    <row r="110" spans="1:8" x14ac:dyDescent="0.25">
      <c r="A110" s="95"/>
      <c r="B110" s="95"/>
      <c r="C110" s="95"/>
      <c r="D110" s="95"/>
      <c r="E110" s="95"/>
      <c r="F110" s="95"/>
      <c r="G110" s="95"/>
      <c r="H110" s="95"/>
    </row>
    <row r="111" spans="1:8" x14ac:dyDescent="0.25">
      <c r="A111" s="95"/>
      <c r="B111" s="95"/>
      <c r="C111" s="95"/>
      <c r="D111" s="95"/>
      <c r="E111" s="95"/>
      <c r="F111" s="95"/>
      <c r="G111" s="95"/>
      <c r="H111" s="95"/>
    </row>
    <row r="112" spans="1:8" x14ac:dyDescent="0.25">
      <c r="A112" s="95"/>
      <c r="B112" s="95"/>
      <c r="C112" s="95"/>
      <c r="D112" s="95"/>
      <c r="E112" s="95"/>
      <c r="F112" s="95"/>
      <c r="G112" s="95"/>
      <c r="H112" s="95"/>
    </row>
    <row r="113" spans="1:8" x14ac:dyDescent="0.25">
      <c r="A113" s="95"/>
      <c r="B113" s="95"/>
      <c r="C113" s="95"/>
      <c r="D113" s="95"/>
      <c r="E113" s="95"/>
      <c r="F113" s="95"/>
      <c r="G113" s="95"/>
      <c r="H113" s="95"/>
    </row>
    <row r="114" spans="1:8" x14ac:dyDescent="0.25">
      <c r="A114" s="95"/>
      <c r="B114" s="95"/>
      <c r="C114" s="95"/>
      <c r="D114" s="95"/>
      <c r="E114" s="95"/>
      <c r="F114" s="95"/>
      <c r="G114" s="95"/>
      <c r="H114" s="95"/>
    </row>
    <row r="115" spans="1:8" x14ac:dyDescent="0.25">
      <c r="A115" s="95"/>
      <c r="B115" s="95"/>
      <c r="C115" s="95"/>
      <c r="D115" s="95"/>
      <c r="E115" s="95"/>
      <c r="F115" s="95"/>
      <c r="G115" s="95"/>
      <c r="H115" s="95"/>
    </row>
    <row r="116" spans="1:8" x14ac:dyDescent="0.25">
      <c r="A116" s="95"/>
      <c r="B116" s="95"/>
      <c r="C116" s="95"/>
      <c r="D116" s="95"/>
      <c r="E116" s="95"/>
      <c r="F116" s="95"/>
      <c r="G116" s="95"/>
      <c r="H116" s="95"/>
    </row>
    <row r="117" spans="1:8" x14ac:dyDescent="0.25">
      <c r="A117" s="95"/>
      <c r="B117" s="95"/>
      <c r="C117" s="95"/>
      <c r="D117" s="95"/>
      <c r="E117" s="95"/>
      <c r="F117" s="95"/>
      <c r="G117" s="95"/>
      <c r="H117" s="95"/>
    </row>
    <row r="118" spans="1:8" x14ac:dyDescent="0.25">
      <c r="A118" s="95"/>
      <c r="B118" s="95"/>
      <c r="C118" s="95"/>
      <c r="D118" s="95"/>
      <c r="E118" s="95"/>
      <c r="F118" s="95"/>
      <c r="G118" s="95"/>
      <c r="H118" s="95"/>
    </row>
    <row r="119" spans="1:8" x14ac:dyDescent="0.25">
      <c r="A119" s="95"/>
      <c r="B119" s="95"/>
      <c r="C119" s="95"/>
      <c r="D119" s="95"/>
      <c r="E119" s="95"/>
      <c r="F119" s="95"/>
      <c r="G119" s="95"/>
      <c r="H119" s="95"/>
    </row>
    <row r="120" spans="1:8" x14ac:dyDescent="0.25">
      <c r="A120" s="95"/>
      <c r="B120" s="95"/>
      <c r="C120" s="95"/>
      <c r="D120" s="95"/>
      <c r="E120" s="95"/>
      <c r="F120" s="95"/>
      <c r="G120" s="95"/>
      <c r="H120" s="95"/>
    </row>
    <row r="121" spans="1:8" x14ac:dyDescent="0.25">
      <c r="A121" s="95"/>
      <c r="B121" s="95"/>
      <c r="C121" s="95"/>
      <c r="D121" s="95"/>
      <c r="E121" s="95"/>
      <c r="F121" s="95"/>
      <c r="G121" s="95"/>
      <c r="H121" s="95"/>
    </row>
    <row r="122" spans="1:8" x14ac:dyDescent="0.25">
      <c r="A122" s="95"/>
      <c r="B122" s="95"/>
      <c r="C122" s="95"/>
      <c r="D122" s="95"/>
      <c r="E122" s="95"/>
      <c r="F122" s="95"/>
      <c r="G122" s="95"/>
      <c r="H122" s="95"/>
    </row>
    <row r="123" spans="1:8" x14ac:dyDescent="0.25">
      <c r="A123" s="95"/>
      <c r="B123" s="95"/>
      <c r="C123" s="95"/>
      <c r="D123" s="95"/>
      <c r="E123" s="95"/>
      <c r="F123" s="95"/>
      <c r="G123" s="95"/>
      <c r="H123" s="95"/>
    </row>
    <row r="124" spans="1:8" x14ac:dyDescent="0.25">
      <c r="A124" s="95"/>
      <c r="B124" s="95"/>
      <c r="C124" s="95"/>
      <c r="D124" s="95"/>
      <c r="E124" s="95"/>
      <c r="F124" s="95"/>
      <c r="G124" s="95"/>
      <c r="H124" s="95"/>
    </row>
    <row r="125" spans="1:8" x14ac:dyDescent="0.25">
      <c r="A125" s="95"/>
      <c r="B125" s="95"/>
      <c r="C125" s="95"/>
      <c r="D125" s="95"/>
      <c r="E125" s="95"/>
      <c r="F125" s="95"/>
      <c r="G125" s="95"/>
      <c r="H125" s="95"/>
    </row>
    <row r="126" spans="1:8" x14ac:dyDescent="0.25">
      <c r="A126" s="95"/>
      <c r="B126" s="95"/>
      <c r="C126" s="95"/>
      <c r="D126" s="95"/>
      <c r="E126" s="95"/>
      <c r="F126" s="95"/>
      <c r="G126" s="95"/>
      <c r="H126" s="95"/>
    </row>
    <row r="127" spans="1:8" x14ac:dyDescent="0.25">
      <c r="A127" s="95"/>
      <c r="B127" s="95"/>
      <c r="C127" s="95"/>
      <c r="D127" s="95"/>
      <c r="E127" s="95"/>
      <c r="F127" s="95"/>
      <c r="G127" s="95"/>
      <c r="H127" s="95"/>
    </row>
    <row r="128" spans="1:8" x14ac:dyDescent="0.25">
      <c r="A128" s="95"/>
      <c r="B128" s="95"/>
      <c r="C128" s="95"/>
      <c r="D128" s="95"/>
      <c r="E128" s="95"/>
      <c r="F128" s="95"/>
      <c r="G128" s="95"/>
      <c r="H128" s="95"/>
    </row>
    <row r="129" spans="1:8" x14ac:dyDescent="0.25">
      <c r="A129" s="95"/>
      <c r="B129" s="95"/>
      <c r="C129" s="95"/>
      <c r="D129" s="95"/>
      <c r="E129" s="95"/>
      <c r="F129" s="95"/>
      <c r="G129" s="95"/>
      <c r="H129" s="95"/>
    </row>
    <row r="130" spans="1:8" x14ac:dyDescent="0.25">
      <c r="A130" s="95"/>
      <c r="B130" s="95"/>
      <c r="C130" s="95"/>
      <c r="D130" s="95"/>
      <c r="E130" s="95"/>
      <c r="F130" s="95"/>
      <c r="G130" s="95"/>
      <c r="H130" s="95"/>
    </row>
  </sheetData>
  <mergeCells count="2">
    <mergeCell ref="A1:H1"/>
    <mergeCell ref="A2:H2"/>
  </mergeCells>
  <dataValidations count="3">
    <dataValidation type="list" allowBlank="1" showInputMessage="1" showErrorMessage="1" sqref="B5:B104" xr:uid="{EA1BF024-8DBD-469F-9809-D89FD674EAB4}">
      <formula1>"Emergency Fund,General Savings,Travel Fund,Investment Fund,Other"</formula1>
    </dataValidation>
    <dataValidation type="list" allowBlank="1" showInputMessage="1" showErrorMessage="1" sqref="C5:C104" xr:uid="{B5ED518B-28CF-4B25-8C06-560860732B09}">
      <formula1>"Contribution,Withdrawal"</formula1>
    </dataValidation>
    <dataValidation type="date" allowBlank="1" showInputMessage="1" showErrorMessage="1" errorTitle="Enter a valid date" error="Choose or enter a date between January 1, 2000 and December 31, 2100." promptTitle="Date" prompt="Select a date from the calendar or type a valid date." sqref="A5:A104" xr:uid="{43BB9455-155B-4991-9BE5-1AEA2D44DC33}">
      <formula1>36526</formula1>
      <formula2>73415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ED81-4AAD-4D52-A223-5D1F84334211}">
  <dimension ref="A1:H80"/>
  <sheetViews>
    <sheetView showGridLines="0" topLeftCell="A27" workbookViewId="0">
      <selection activeCell="B29" sqref="B29"/>
    </sheetView>
  </sheetViews>
  <sheetFormatPr defaultColWidth="9.140625" defaultRowHeight="15" x14ac:dyDescent="0.25"/>
  <cols>
    <col min="1" max="1" width="20" style="8" bestFit="1" customWidth="1"/>
    <col min="2" max="2" width="67.85546875" style="8" bestFit="1" customWidth="1"/>
    <col min="3" max="16384" width="9.140625" style="8"/>
  </cols>
  <sheetData>
    <row r="1" spans="1:8" ht="26.25" x14ac:dyDescent="0.4">
      <c r="A1" s="211" t="s">
        <v>114</v>
      </c>
      <c r="B1" s="212"/>
      <c r="C1" s="212"/>
      <c r="D1" s="212"/>
      <c r="E1" s="212"/>
      <c r="F1" s="212"/>
      <c r="G1" s="212"/>
      <c r="H1" s="212"/>
    </row>
    <row r="2" spans="1:8" x14ac:dyDescent="0.25">
      <c r="A2" s="213" t="s">
        <v>115</v>
      </c>
      <c r="B2" s="212"/>
      <c r="C2" s="212"/>
      <c r="D2" s="212"/>
      <c r="E2" s="212"/>
      <c r="F2" s="212"/>
      <c r="G2" s="212"/>
      <c r="H2" s="212"/>
    </row>
    <row r="3" spans="1:8" x14ac:dyDescent="0.25">
      <c r="A3" s="111"/>
      <c r="B3" s="111"/>
      <c r="C3" s="111"/>
      <c r="D3" s="111"/>
      <c r="E3" s="111"/>
      <c r="F3" s="111"/>
      <c r="G3" s="111"/>
      <c r="H3" s="111"/>
    </row>
    <row r="4" spans="1:8" ht="15.75" x14ac:dyDescent="0.25">
      <c r="A4" s="209" t="s">
        <v>116</v>
      </c>
      <c r="B4" s="210"/>
      <c r="C4" s="210"/>
      <c r="D4" s="210"/>
      <c r="E4" s="210"/>
      <c r="F4" s="210"/>
      <c r="G4" s="210"/>
      <c r="H4" s="210"/>
    </row>
    <row r="5" spans="1:8" x14ac:dyDescent="0.25">
      <c r="A5" s="112" t="s">
        <v>117</v>
      </c>
      <c r="B5" s="112" t="s">
        <v>69</v>
      </c>
      <c r="C5" s="111"/>
      <c r="D5" s="111"/>
      <c r="E5" s="111"/>
      <c r="F5" s="111"/>
      <c r="G5" s="111"/>
      <c r="H5" s="111"/>
    </row>
    <row r="6" spans="1:8" x14ac:dyDescent="0.25">
      <c r="A6" s="111" t="s">
        <v>118</v>
      </c>
      <c r="B6" s="113" t="s">
        <v>119</v>
      </c>
      <c r="C6" s="111"/>
      <c r="D6" s="111"/>
      <c r="E6" s="111"/>
      <c r="F6" s="111"/>
      <c r="G6" s="111"/>
      <c r="H6" s="111"/>
    </row>
    <row r="7" spans="1:8" x14ac:dyDescent="0.25">
      <c r="A7" s="111" t="s">
        <v>120</v>
      </c>
      <c r="B7" s="113" t="s">
        <v>121</v>
      </c>
      <c r="C7" s="111"/>
      <c r="D7" s="111"/>
      <c r="E7" s="111"/>
      <c r="F7" s="111"/>
      <c r="G7" s="111"/>
      <c r="H7" s="111"/>
    </row>
    <row r="8" spans="1:8" x14ac:dyDescent="0.25">
      <c r="A8" s="111" t="s">
        <v>42</v>
      </c>
      <c r="B8" s="113" t="s">
        <v>122</v>
      </c>
      <c r="C8" s="111"/>
      <c r="D8" s="111"/>
      <c r="E8" s="111"/>
      <c r="F8" s="111"/>
      <c r="G8" s="111"/>
      <c r="H8" s="111"/>
    </row>
    <row r="9" spans="1:8" x14ac:dyDescent="0.25">
      <c r="A9" s="111" t="s">
        <v>123</v>
      </c>
      <c r="B9" s="113" t="s">
        <v>124</v>
      </c>
      <c r="C9" s="111"/>
      <c r="D9" s="111"/>
      <c r="E9" s="111"/>
      <c r="F9" s="111"/>
      <c r="G9" s="111"/>
      <c r="H9" s="111"/>
    </row>
    <row r="10" spans="1:8" x14ac:dyDescent="0.25">
      <c r="A10" s="111" t="s">
        <v>76</v>
      </c>
      <c r="B10" s="113" t="s">
        <v>125</v>
      </c>
      <c r="C10" s="111"/>
      <c r="D10" s="111"/>
      <c r="E10" s="111"/>
      <c r="F10" s="111"/>
      <c r="G10" s="111"/>
      <c r="H10" s="111"/>
    </row>
    <row r="11" spans="1:8" x14ac:dyDescent="0.25">
      <c r="A11" s="111" t="s">
        <v>126</v>
      </c>
      <c r="B11" s="113" t="s">
        <v>127</v>
      </c>
      <c r="C11" s="111"/>
      <c r="D11" s="111"/>
      <c r="E11" s="111"/>
      <c r="F11" s="111"/>
      <c r="G11" s="111"/>
      <c r="H11" s="111"/>
    </row>
    <row r="12" spans="1:8" x14ac:dyDescent="0.25">
      <c r="A12" s="111"/>
      <c r="B12" s="111"/>
      <c r="C12" s="111"/>
      <c r="D12" s="111"/>
      <c r="E12" s="111"/>
      <c r="F12" s="111"/>
      <c r="G12" s="111"/>
      <c r="H12" s="111"/>
    </row>
    <row r="13" spans="1:8" x14ac:dyDescent="0.25">
      <c r="A13" s="111"/>
      <c r="B13" s="111"/>
      <c r="C13" s="111"/>
      <c r="D13" s="111"/>
      <c r="E13" s="111"/>
      <c r="F13" s="111"/>
      <c r="G13" s="111"/>
      <c r="H13" s="111"/>
    </row>
    <row r="14" spans="1:8" ht="15.75" x14ac:dyDescent="0.25">
      <c r="A14" s="209" t="s">
        <v>128</v>
      </c>
      <c r="B14" s="210"/>
      <c r="C14" s="210"/>
      <c r="D14" s="210"/>
      <c r="E14" s="210"/>
      <c r="F14" s="210"/>
      <c r="G14" s="210"/>
      <c r="H14" s="210"/>
    </row>
    <row r="15" spans="1:8" x14ac:dyDescent="0.25">
      <c r="A15" s="112" t="s">
        <v>129</v>
      </c>
      <c r="B15" s="112" t="s">
        <v>130</v>
      </c>
      <c r="C15" s="111"/>
      <c r="D15" s="111"/>
      <c r="E15" s="111"/>
      <c r="F15" s="111"/>
      <c r="G15" s="111"/>
      <c r="H15" s="111"/>
    </row>
    <row r="16" spans="1:8" x14ac:dyDescent="0.25">
      <c r="A16" s="111" t="s">
        <v>131</v>
      </c>
      <c r="B16" s="113" t="s">
        <v>132</v>
      </c>
      <c r="C16" s="111"/>
      <c r="D16" s="111"/>
      <c r="E16" s="111"/>
      <c r="F16" s="111"/>
      <c r="G16" s="111"/>
      <c r="H16" s="111"/>
    </row>
    <row r="17" spans="1:8" x14ac:dyDescent="0.25">
      <c r="A17" s="111" t="s">
        <v>133</v>
      </c>
      <c r="B17" s="113" t="s">
        <v>134</v>
      </c>
      <c r="C17" s="111"/>
      <c r="D17" s="111"/>
      <c r="E17" s="111"/>
      <c r="F17" s="111"/>
      <c r="G17" s="111"/>
      <c r="H17" s="111"/>
    </row>
    <row r="18" spans="1:8" x14ac:dyDescent="0.25">
      <c r="A18" s="111" t="s">
        <v>135</v>
      </c>
      <c r="B18" s="113" t="s">
        <v>136</v>
      </c>
      <c r="C18" s="111"/>
      <c r="D18" s="111"/>
      <c r="E18" s="111"/>
      <c r="F18" s="111"/>
      <c r="G18" s="111"/>
      <c r="H18" s="111"/>
    </row>
    <row r="19" spans="1:8" x14ac:dyDescent="0.25">
      <c r="A19" s="111" t="s">
        <v>137</v>
      </c>
      <c r="B19" s="113" t="s">
        <v>138</v>
      </c>
      <c r="C19" s="111"/>
      <c r="D19" s="111"/>
      <c r="E19" s="111"/>
      <c r="F19" s="111"/>
      <c r="G19" s="111"/>
      <c r="H19" s="111"/>
    </row>
    <row r="20" spans="1:8" x14ac:dyDescent="0.25">
      <c r="A20" s="111" t="s">
        <v>139</v>
      </c>
      <c r="B20" s="113" t="s">
        <v>140</v>
      </c>
      <c r="C20" s="111"/>
      <c r="D20" s="111"/>
      <c r="E20" s="111"/>
      <c r="F20" s="111"/>
      <c r="G20" s="111"/>
      <c r="H20" s="111"/>
    </row>
    <row r="21" spans="1:8" x14ac:dyDescent="0.25">
      <c r="A21" s="111" t="s">
        <v>141</v>
      </c>
      <c r="B21" s="113" t="s">
        <v>142</v>
      </c>
      <c r="C21" s="111"/>
      <c r="D21" s="111"/>
      <c r="E21" s="111"/>
      <c r="F21" s="111"/>
      <c r="G21" s="111"/>
      <c r="H21" s="111"/>
    </row>
    <row r="22" spans="1:8" x14ac:dyDescent="0.25">
      <c r="A22" s="111" t="s">
        <v>143</v>
      </c>
      <c r="B22" s="113" t="s">
        <v>144</v>
      </c>
      <c r="C22" s="111"/>
      <c r="D22" s="111"/>
      <c r="E22" s="111"/>
      <c r="F22" s="111"/>
      <c r="G22" s="111"/>
      <c r="H22" s="111"/>
    </row>
    <row r="23" spans="1:8" x14ac:dyDescent="0.25">
      <c r="A23" s="111"/>
      <c r="B23" s="111"/>
      <c r="C23" s="111"/>
      <c r="D23" s="111"/>
      <c r="E23" s="111"/>
      <c r="F23" s="111"/>
      <c r="G23" s="111"/>
      <c r="H23" s="111"/>
    </row>
    <row r="24" spans="1:8" x14ac:dyDescent="0.25">
      <c r="A24" s="111"/>
      <c r="B24" s="111"/>
      <c r="C24" s="111"/>
      <c r="D24" s="111"/>
      <c r="E24" s="111"/>
      <c r="F24" s="111"/>
      <c r="G24" s="111"/>
      <c r="H24" s="111"/>
    </row>
    <row r="25" spans="1:8" ht="15.75" x14ac:dyDescent="0.25">
      <c r="A25" s="209" t="s">
        <v>145</v>
      </c>
      <c r="B25" s="210"/>
      <c r="C25" s="210"/>
      <c r="D25" s="210"/>
      <c r="E25" s="210"/>
      <c r="F25" s="210"/>
      <c r="G25" s="210"/>
      <c r="H25" s="210"/>
    </row>
    <row r="26" spans="1:8" x14ac:dyDescent="0.25">
      <c r="A26" s="112" t="s">
        <v>146</v>
      </c>
      <c r="B26" s="112" t="s">
        <v>147</v>
      </c>
      <c r="C26" s="111"/>
      <c r="D26" s="111"/>
      <c r="E26" s="111"/>
      <c r="F26" s="111"/>
      <c r="G26" s="111"/>
      <c r="H26" s="111"/>
    </row>
    <row r="27" spans="1:8" x14ac:dyDescent="0.25">
      <c r="A27" s="111" t="s">
        <v>51</v>
      </c>
      <c r="B27" s="113" t="s">
        <v>148</v>
      </c>
      <c r="C27" s="111"/>
      <c r="D27" s="111"/>
      <c r="E27" s="111"/>
      <c r="F27" s="111"/>
      <c r="G27" s="111"/>
      <c r="H27" s="111"/>
    </row>
    <row r="28" spans="1:8" x14ac:dyDescent="0.25">
      <c r="A28" s="111" t="s">
        <v>149</v>
      </c>
      <c r="B28" s="113" t="s">
        <v>150</v>
      </c>
      <c r="C28" s="111"/>
      <c r="D28" s="111"/>
      <c r="E28" s="111"/>
      <c r="F28" s="111"/>
      <c r="G28" s="111"/>
      <c r="H28" s="111"/>
    </row>
    <row r="29" spans="1:8" x14ac:dyDescent="0.25">
      <c r="A29" s="111" t="s">
        <v>151</v>
      </c>
      <c r="B29" s="113" t="s">
        <v>152</v>
      </c>
      <c r="C29" s="111"/>
      <c r="D29" s="111"/>
      <c r="E29" s="111"/>
      <c r="F29" s="111"/>
      <c r="G29" s="111"/>
      <c r="H29" s="111"/>
    </row>
    <row r="30" spans="1:8" x14ac:dyDescent="0.25">
      <c r="A30" s="111" t="s">
        <v>153</v>
      </c>
      <c r="B30" s="113" t="s">
        <v>154</v>
      </c>
      <c r="C30" s="111"/>
      <c r="D30" s="111"/>
      <c r="E30" s="111"/>
      <c r="F30" s="111"/>
      <c r="G30" s="111"/>
      <c r="H30" s="111"/>
    </row>
    <row r="31" spans="1:8" x14ac:dyDescent="0.25">
      <c r="A31" s="111" t="s">
        <v>155</v>
      </c>
      <c r="B31" s="113" t="s">
        <v>156</v>
      </c>
      <c r="C31" s="111"/>
      <c r="D31" s="111"/>
      <c r="E31" s="111"/>
      <c r="F31" s="111"/>
      <c r="G31" s="111"/>
      <c r="H31" s="111"/>
    </row>
    <row r="32" spans="1:8" x14ac:dyDescent="0.25">
      <c r="A32" s="111" t="s">
        <v>101</v>
      </c>
      <c r="B32" s="113" t="s">
        <v>157</v>
      </c>
      <c r="C32" s="111"/>
      <c r="D32" s="111"/>
      <c r="E32" s="111"/>
      <c r="F32" s="111"/>
      <c r="G32" s="111"/>
      <c r="H32" s="111"/>
    </row>
    <row r="33" spans="1:8" x14ac:dyDescent="0.25">
      <c r="A33" s="111" t="s">
        <v>98</v>
      </c>
      <c r="B33" s="113" t="s">
        <v>158</v>
      </c>
      <c r="C33" s="111"/>
      <c r="D33" s="111"/>
      <c r="E33" s="111"/>
      <c r="F33" s="111"/>
      <c r="G33" s="111"/>
      <c r="H33" s="111"/>
    </row>
    <row r="34" spans="1:8" x14ac:dyDescent="0.25">
      <c r="A34" s="111" t="s">
        <v>159</v>
      </c>
      <c r="B34" s="113" t="s">
        <v>160</v>
      </c>
      <c r="C34" s="111"/>
      <c r="D34" s="111"/>
      <c r="E34" s="111"/>
      <c r="F34" s="111"/>
      <c r="G34" s="111"/>
      <c r="H34" s="111"/>
    </row>
    <row r="35" spans="1:8" x14ac:dyDescent="0.25">
      <c r="A35" s="111"/>
      <c r="B35" s="111"/>
      <c r="C35" s="111"/>
      <c r="D35" s="111"/>
      <c r="E35" s="111"/>
      <c r="F35" s="111"/>
      <c r="G35" s="111"/>
      <c r="H35" s="111"/>
    </row>
    <row r="36" spans="1:8" x14ac:dyDescent="0.25">
      <c r="A36" s="111"/>
      <c r="B36" s="111"/>
      <c r="C36" s="111"/>
      <c r="D36" s="111"/>
      <c r="E36" s="111"/>
      <c r="F36" s="111"/>
      <c r="G36" s="111"/>
      <c r="H36" s="111"/>
    </row>
    <row r="37" spans="1:8" x14ac:dyDescent="0.25">
      <c r="A37" s="111"/>
      <c r="B37" s="111"/>
      <c r="C37" s="111"/>
      <c r="D37" s="111"/>
      <c r="E37" s="111"/>
      <c r="F37" s="111"/>
      <c r="G37" s="111"/>
      <c r="H37" s="111"/>
    </row>
    <row r="38" spans="1:8" ht="15.75" x14ac:dyDescent="0.25">
      <c r="A38" s="209" t="s">
        <v>161</v>
      </c>
      <c r="B38" s="210"/>
      <c r="C38" s="210"/>
      <c r="D38" s="210"/>
      <c r="E38" s="210"/>
      <c r="F38" s="210"/>
      <c r="G38" s="210"/>
      <c r="H38" s="210"/>
    </row>
    <row r="39" spans="1:8" x14ac:dyDescent="0.25">
      <c r="A39" s="112" t="s">
        <v>162</v>
      </c>
      <c r="B39" s="112" t="s">
        <v>163</v>
      </c>
      <c r="C39" s="111"/>
      <c r="D39" s="111"/>
      <c r="E39" s="111"/>
      <c r="F39" s="111"/>
      <c r="G39" s="111"/>
      <c r="H39" s="111"/>
    </row>
    <row r="40" spans="1:8" x14ac:dyDescent="0.25">
      <c r="A40" s="111" t="s">
        <v>164</v>
      </c>
      <c r="B40" s="113" t="s">
        <v>165</v>
      </c>
      <c r="C40" s="111"/>
      <c r="D40" s="111"/>
      <c r="E40" s="111"/>
      <c r="F40" s="111"/>
      <c r="G40" s="111"/>
      <c r="H40" s="111"/>
    </row>
    <row r="41" spans="1:8" x14ac:dyDescent="0.25">
      <c r="A41" s="111" t="s">
        <v>166</v>
      </c>
      <c r="B41" s="113" t="s">
        <v>167</v>
      </c>
      <c r="C41" s="111"/>
      <c r="D41" s="111"/>
      <c r="E41" s="111"/>
      <c r="F41" s="111"/>
      <c r="G41" s="111"/>
      <c r="H41" s="111"/>
    </row>
    <row r="42" spans="1:8" x14ac:dyDescent="0.25">
      <c r="A42" s="111" t="s">
        <v>168</v>
      </c>
      <c r="B42" s="113" t="s">
        <v>169</v>
      </c>
      <c r="C42" s="111"/>
      <c r="D42" s="111"/>
      <c r="E42" s="111"/>
      <c r="F42" s="111"/>
      <c r="G42" s="111"/>
      <c r="H42" s="111"/>
    </row>
    <row r="43" spans="1:8" x14ac:dyDescent="0.25">
      <c r="A43" s="111" t="s">
        <v>170</v>
      </c>
      <c r="B43" s="113" t="s">
        <v>171</v>
      </c>
      <c r="C43" s="111"/>
      <c r="D43" s="111"/>
      <c r="E43" s="111"/>
      <c r="F43" s="111"/>
      <c r="G43" s="111"/>
      <c r="H43" s="111"/>
    </row>
    <row r="44" spans="1:8" x14ac:dyDescent="0.25">
      <c r="A44" s="111" t="s">
        <v>172</v>
      </c>
      <c r="B44" s="113" t="s">
        <v>173</v>
      </c>
      <c r="C44" s="111"/>
      <c r="D44" s="111"/>
      <c r="E44" s="111"/>
      <c r="F44" s="111"/>
      <c r="G44" s="111"/>
      <c r="H44" s="111"/>
    </row>
    <row r="45" spans="1:8" x14ac:dyDescent="0.25">
      <c r="A45" s="111" t="s">
        <v>174</v>
      </c>
      <c r="B45" s="113" t="s">
        <v>175</v>
      </c>
      <c r="C45" s="111"/>
      <c r="D45" s="111"/>
      <c r="E45" s="111"/>
      <c r="F45" s="111"/>
      <c r="G45" s="111"/>
      <c r="H45" s="111"/>
    </row>
    <row r="46" spans="1:8" x14ac:dyDescent="0.25">
      <c r="A46" s="111"/>
      <c r="B46" s="111"/>
      <c r="C46" s="111"/>
      <c r="D46" s="111"/>
      <c r="E46" s="111"/>
      <c r="F46" s="111"/>
      <c r="G46" s="111"/>
      <c r="H46" s="111"/>
    </row>
    <row r="47" spans="1:8" x14ac:dyDescent="0.25">
      <c r="A47" s="111"/>
      <c r="B47" s="111"/>
      <c r="C47" s="111"/>
      <c r="D47" s="111"/>
      <c r="E47" s="111"/>
      <c r="F47" s="111"/>
      <c r="G47" s="111"/>
      <c r="H47" s="111"/>
    </row>
    <row r="48" spans="1:8" ht="15.75" x14ac:dyDescent="0.25">
      <c r="A48" s="209" t="s">
        <v>176</v>
      </c>
      <c r="B48" s="210"/>
      <c r="C48" s="210"/>
      <c r="D48" s="210"/>
      <c r="E48" s="210"/>
      <c r="F48" s="210"/>
      <c r="G48" s="210"/>
      <c r="H48" s="210"/>
    </row>
    <row r="49" spans="1:8" x14ac:dyDescent="0.25">
      <c r="A49" s="112" t="s">
        <v>177</v>
      </c>
      <c r="B49" s="112" t="s">
        <v>178</v>
      </c>
      <c r="C49" s="111"/>
      <c r="D49" s="111"/>
      <c r="E49" s="111"/>
      <c r="F49" s="111"/>
      <c r="G49" s="111"/>
      <c r="H49" s="111"/>
    </row>
    <row r="50" spans="1:8" x14ac:dyDescent="0.25">
      <c r="A50" s="111">
        <v>1</v>
      </c>
      <c r="B50" s="113" t="s">
        <v>179</v>
      </c>
      <c r="C50" s="111"/>
      <c r="D50" s="111"/>
      <c r="E50" s="111"/>
      <c r="F50" s="111"/>
      <c r="G50" s="111"/>
      <c r="H50" s="111"/>
    </row>
    <row r="51" spans="1:8" x14ac:dyDescent="0.25">
      <c r="A51" s="111">
        <v>2</v>
      </c>
      <c r="B51" s="113" t="s">
        <v>180</v>
      </c>
      <c r="C51" s="111"/>
      <c r="D51" s="111"/>
      <c r="E51" s="111"/>
      <c r="F51" s="111"/>
      <c r="G51" s="111"/>
      <c r="H51" s="111"/>
    </row>
    <row r="52" spans="1:8" x14ac:dyDescent="0.25">
      <c r="A52" s="111">
        <v>3</v>
      </c>
      <c r="B52" s="113" t="s">
        <v>181</v>
      </c>
      <c r="C52" s="111"/>
      <c r="D52" s="111"/>
      <c r="E52" s="111"/>
      <c r="F52" s="111"/>
      <c r="G52" s="111"/>
      <c r="H52" s="111"/>
    </row>
    <row r="53" spans="1:8" x14ac:dyDescent="0.25">
      <c r="A53" s="111">
        <v>4</v>
      </c>
      <c r="B53" s="113" t="s">
        <v>182</v>
      </c>
      <c r="C53" s="111"/>
      <c r="D53" s="111"/>
      <c r="E53" s="111"/>
      <c r="F53" s="111"/>
      <c r="G53" s="111"/>
      <c r="H53" s="111"/>
    </row>
    <row r="54" spans="1:8" x14ac:dyDescent="0.25">
      <c r="A54" s="111">
        <v>5</v>
      </c>
      <c r="B54" s="113" t="s">
        <v>183</v>
      </c>
      <c r="C54" s="111"/>
      <c r="D54" s="111"/>
      <c r="E54" s="111"/>
      <c r="F54" s="111"/>
      <c r="G54" s="111"/>
      <c r="H54" s="111"/>
    </row>
    <row r="55" spans="1:8" x14ac:dyDescent="0.25">
      <c r="A55" s="111">
        <v>6</v>
      </c>
      <c r="B55" s="113" t="s">
        <v>184</v>
      </c>
      <c r="C55" s="111"/>
      <c r="D55" s="111"/>
      <c r="E55" s="111"/>
      <c r="F55" s="111"/>
      <c r="G55" s="111"/>
      <c r="H55" s="111"/>
    </row>
    <row r="56" spans="1:8" x14ac:dyDescent="0.25">
      <c r="A56" s="111"/>
      <c r="B56" s="111"/>
      <c r="C56" s="111"/>
      <c r="D56" s="111"/>
      <c r="E56" s="111"/>
      <c r="F56" s="111"/>
      <c r="G56" s="111"/>
      <c r="H56" s="111"/>
    </row>
    <row r="57" spans="1:8" x14ac:dyDescent="0.25">
      <c r="A57" s="111"/>
      <c r="B57" s="111"/>
      <c r="C57" s="111"/>
      <c r="D57" s="111"/>
      <c r="E57" s="111"/>
      <c r="F57" s="111"/>
      <c r="G57" s="111"/>
      <c r="H57" s="111"/>
    </row>
    <row r="58" spans="1:8" x14ac:dyDescent="0.25">
      <c r="A58" s="111"/>
      <c r="B58" s="111"/>
      <c r="C58" s="111"/>
      <c r="D58" s="111"/>
      <c r="E58" s="111"/>
      <c r="F58" s="111"/>
      <c r="G58" s="111"/>
      <c r="H58" s="111"/>
    </row>
    <row r="59" spans="1:8" x14ac:dyDescent="0.25">
      <c r="A59" s="111"/>
      <c r="B59" s="111"/>
      <c r="C59" s="111"/>
      <c r="D59" s="111"/>
      <c r="E59" s="111"/>
      <c r="F59" s="111"/>
      <c r="G59" s="111"/>
      <c r="H59" s="111"/>
    </row>
    <row r="60" spans="1:8" x14ac:dyDescent="0.25">
      <c r="A60" s="111"/>
      <c r="B60" s="111"/>
      <c r="C60" s="111"/>
      <c r="D60" s="111"/>
      <c r="E60" s="111"/>
      <c r="F60" s="111"/>
      <c r="G60" s="111"/>
      <c r="H60" s="111"/>
    </row>
    <row r="61" spans="1:8" x14ac:dyDescent="0.25">
      <c r="A61" s="111"/>
      <c r="B61" s="111"/>
      <c r="C61" s="111"/>
      <c r="D61" s="111"/>
      <c r="E61" s="111"/>
      <c r="F61" s="111"/>
      <c r="G61" s="111"/>
      <c r="H61" s="111"/>
    </row>
    <row r="62" spans="1:8" x14ac:dyDescent="0.25">
      <c r="A62" s="111"/>
      <c r="B62" s="111"/>
      <c r="C62" s="111"/>
      <c r="D62" s="111"/>
      <c r="E62" s="111"/>
      <c r="F62" s="111"/>
      <c r="G62" s="111"/>
      <c r="H62" s="111"/>
    </row>
    <row r="63" spans="1:8" x14ac:dyDescent="0.25">
      <c r="A63" s="111"/>
      <c r="B63" s="111"/>
      <c r="C63" s="111"/>
      <c r="D63" s="111"/>
      <c r="E63" s="111"/>
      <c r="F63" s="111"/>
      <c r="G63" s="111"/>
      <c r="H63" s="111"/>
    </row>
    <row r="64" spans="1:8" x14ac:dyDescent="0.25">
      <c r="A64" s="111"/>
      <c r="B64" s="111"/>
      <c r="C64" s="111"/>
      <c r="D64" s="111"/>
      <c r="E64" s="111"/>
      <c r="F64" s="111"/>
      <c r="G64" s="111"/>
      <c r="H64" s="111"/>
    </row>
    <row r="65" spans="1:8" x14ac:dyDescent="0.25">
      <c r="A65" s="111"/>
      <c r="B65" s="111"/>
      <c r="C65" s="111"/>
      <c r="D65" s="111"/>
      <c r="E65" s="111"/>
      <c r="F65" s="111"/>
      <c r="G65" s="111"/>
      <c r="H65" s="111"/>
    </row>
    <row r="66" spans="1:8" x14ac:dyDescent="0.25">
      <c r="A66" s="111"/>
      <c r="B66" s="111"/>
      <c r="C66" s="111"/>
      <c r="D66" s="111"/>
      <c r="E66" s="111"/>
      <c r="F66" s="111"/>
      <c r="G66" s="111"/>
      <c r="H66" s="111"/>
    </row>
    <row r="67" spans="1:8" x14ac:dyDescent="0.25">
      <c r="A67" s="111"/>
      <c r="B67" s="111"/>
      <c r="C67" s="111"/>
      <c r="D67" s="111"/>
      <c r="E67" s="111"/>
      <c r="F67" s="111"/>
      <c r="G67" s="111"/>
      <c r="H67" s="111"/>
    </row>
    <row r="68" spans="1:8" x14ac:dyDescent="0.25">
      <c r="A68" s="111"/>
      <c r="B68" s="111"/>
      <c r="C68" s="111"/>
      <c r="D68" s="111"/>
      <c r="E68" s="111"/>
      <c r="F68" s="111"/>
      <c r="G68" s="111"/>
      <c r="H68" s="111"/>
    </row>
    <row r="69" spans="1:8" x14ac:dyDescent="0.25">
      <c r="A69" s="111"/>
      <c r="B69" s="111"/>
      <c r="C69" s="111"/>
      <c r="D69" s="111"/>
      <c r="E69" s="111"/>
      <c r="F69" s="111"/>
      <c r="G69" s="111"/>
      <c r="H69" s="111"/>
    </row>
    <row r="70" spans="1:8" x14ac:dyDescent="0.25">
      <c r="A70" s="111"/>
      <c r="B70" s="111"/>
      <c r="C70" s="111"/>
      <c r="D70" s="111"/>
      <c r="E70" s="111"/>
      <c r="F70" s="111"/>
      <c r="G70" s="111"/>
      <c r="H70" s="111"/>
    </row>
    <row r="71" spans="1:8" x14ac:dyDescent="0.25">
      <c r="A71" s="111"/>
      <c r="B71" s="111"/>
      <c r="C71" s="111"/>
      <c r="D71" s="111"/>
      <c r="E71" s="111"/>
      <c r="F71" s="111"/>
      <c r="G71" s="111"/>
      <c r="H71" s="111"/>
    </row>
    <row r="72" spans="1:8" x14ac:dyDescent="0.25">
      <c r="A72" s="111"/>
      <c r="B72" s="111"/>
      <c r="C72" s="111"/>
      <c r="D72" s="111"/>
      <c r="E72" s="111"/>
      <c r="F72" s="111"/>
      <c r="G72" s="111"/>
      <c r="H72" s="111"/>
    </row>
    <row r="73" spans="1:8" x14ac:dyDescent="0.25">
      <c r="A73" s="111"/>
      <c r="B73" s="111"/>
      <c r="C73" s="111"/>
      <c r="D73" s="111"/>
      <c r="E73" s="111"/>
      <c r="F73" s="111"/>
      <c r="G73" s="111"/>
      <c r="H73" s="111"/>
    </row>
    <row r="74" spans="1:8" x14ac:dyDescent="0.25">
      <c r="A74" s="111"/>
      <c r="B74" s="111"/>
      <c r="C74" s="111"/>
      <c r="D74" s="111"/>
      <c r="E74" s="111"/>
      <c r="F74" s="111"/>
      <c r="G74" s="111"/>
      <c r="H74" s="111"/>
    </row>
    <row r="75" spans="1:8" x14ac:dyDescent="0.25">
      <c r="A75" s="111"/>
      <c r="B75" s="111"/>
      <c r="C75" s="111"/>
      <c r="D75" s="111"/>
      <c r="E75" s="111"/>
      <c r="F75" s="111"/>
      <c r="G75" s="111"/>
      <c r="H75" s="111"/>
    </row>
    <row r="76" spans="1:8" x14ac:dyDescent="0.25">
      <c r="A76" s="111"/>
      <c r="B76" s="111"/>
      <c r="C76" s="111"/>
      <c r="D76" s="111"/>
      <c r="E76" s="111"/>
      <c r="F76" s="111"/>
      <c r="G76" s="111"/>
      <c r="H76" s="111"/>
    </row>
    <row r="77" spans="1:8" x14ac:dyDescent="0.25">
      <c r="A77" s="111"/>
      <c r="B77" s="111"/>
      <c r="C77" s="111"/>
      <c r="D77" s="111"/>
      <c r="E77" s="111"/>
      <c r="F77" s="111"/>
      <c r="G77" s="111"/>
      <c r="H77" s="111"/>
    </row>
    <row r="78" spans="1:8" x14ac:dyDescent="0.25">
      <c r="A78" s="111"/>
      <c r="B78" s="111"/>
      <c r="C78" s="111"/>
      <c r="D78" s="111"/>
      <c r="E78" s="111"/>
      <c r="F78" s="111"/>
      <c r="G78" s="111"/>
      <c r="H78" s="111"/>
    </row>
    <row r="79" spans="1:8" x14ac:dyDescent="0.25">
      <c r="A79" s="111"/>
      <c r="B79" s="111"/>
      <c r="C79" s="111"/>
      <c r="D79" s="111"/>
      <c r="E79" s="111"/>
      <c r="F79" s="111"/>
      <c r="G79" s="111"/>
      <c r="H79" s="111"/>
    </row>
    <row r="80" spans="1:8" x14ac:dyDescent="0.25">
      <c r="A80" s="111"/>
      <c r="B80" s="111"/>
      <c r="C80" s="111"/>
      <c r="D80" s="111"/>
      <c r="E80" s="111"/>
      <c r="F80" s="111"/>
      <c r="G80" s="111"/>
      <c r="H80" s="111"/>
    </row>
  </sheetData>
  <mergeCells count="7">
    <mergeCell ref="A48:H48"/>
    <mergeCell ref="A1:H1"/>
    <mergeCell ref="A2:H2"/>
    <mergeCell ref="A4:H4"/>
    <mergeCell ref="A14:H14"/>
    <mergeCell ref="A25:H25"/>
    <mergeCell ref="A38:H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994B-680A-4B93-BB0C-075FFABFE296}">
  <dimension ref="A1:N54"/>
  <sheetViews>
    <sheetView showGridLines="0" zoomScale="90" zoomScaleNormal="90" workbookViewId="0">
      <selection activeCell="S43" sqref="S43"/>
    </sheetView>
  </sheetViews>
  <sheetFormatPr defaultRowHeight="15" x14ac:dyDescent="0.25"/>
  <cols>
    <col min="1" max="3" width="18.140625" customWidth="1"/>
    <col min="4" max="14" width="14.28515625" customWidth="1"/>
  </cols>
  <sheetData>
    <row r="1" spans="1:14" ht="26.25" x14ac:dyDescent="0.4">
      <c r="A1" s="193" t="s">
        <v>187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</row>
    <row r="2" spans="1:14" x14ac:dyDescent="0.25">
      <c r="A2" s="195" t="s">
        <v>218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21" x14ac:dyDescent="0.35">
      <c r="A4" s="214" t="s">
        <v>188</v>
      </c>
      <c r="B4" s="194"/>
      <c r="C4" s="194"/>
      <c r="D4" s="217" t="s">
        <v>190</v>
      </c>
      <c r="E4" s="194"/>
      <c r="F4" s="194"/>
      <c r="G4" s="194"/>
      <c r="H4" s="194"/>
      <c r="I4" s="194"/>
      <c r="J4" s="194"/>
      <c r="K4" s="194"/>
      <c r="L4" s="194"/>
      <c r="M4" s="194"/>
      <c r="N4" s="194"/>
    </row>
    <row r="5" spans="1:14" x14ac:dyDescent="0.25">
      <c r="A5" s="19"/>
      <c r="B5" s="19"/>
      <c r="C5" s="19"/>
      <c r="D5" s="204" t="s">
        <v>191</v>
      </c>
      <c r="E5" s="194"/>
      <c r="F5" s="194"/>
      <c r="G5" s="194"/>
      <c r="H5" s="194"/>
      <c r="I5" s="194"/>
      <c r="J5" s="194"/>
      <c r="K5" s="194"/>
      <c r="L5" s="194"/>
      <c r="M5" s="194"/>
      <c r="N5" s="194"/>
    </row>
    <row r="6" spans="1:14" ht="15.75" thickBot="1" x14ac:dyDescent="0.3">
      <c r="A6" s="115" t="s">
        <v>72</v>
      </c>
      <c r="B6" s="114"/>
      <c r="C6" s="114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5.75" thickTop="1" x14ac:dyDescent="0.25">
      <c r="A7" s="19" t="s">
        <v>70</v>
      </c>
      <c r="B7" s="19"/>
      <c r="C7" s="19"/>
      <c r="D7" s="120" t="s">
        <v>51</v>
      </c>
      <c r="E7" s="116"/>
      <c r="F7" s="116"/>
      <c r="G7" s="120" t="s">
        <v>194</v>
      </c>
      <c r="H7" s="116"/>
      <c r="I7" s="116"/>
      <c r="J7" s="120" t="s">
        <v>26</v>
      </c>
      <c r="K7" s="116"/>
      <c r="L7" s="116"/>
      <c r="M7" s="120" t="s">
        <v>199</v>
      </c>
      <c r="N7" s="119"/>
    </row>
    <row r="8" spans="1:14" ht="21" x14ac:dyDescent="0.35">
      <c r="A8" s="19" t="s">
        <v>26</v>
      </c>
      <c r="B8" s="19"/>
      <c r="C8" s="19"/>
      <c r="D8" s="121" t="s">
        <v>192</v>
      </c>
      <c r="E8" s="18"/>
      <c r="F8" s="18"/>
      <c r="G8" s="121" t="s">
        <v>195</v>
      </c>
      <c r="H8" s="18"/>
      <c r="I8" s="18"/>
      <c r="J8" s="121" t="s">
        <v>197</v>
      </c>
      <c r="K8" s="18"/>
      <c r="L8" s="18"/>
      <c r="M8" s="123">
        <v>0</v>
      </c>
      <c r="N8" s="20"/>
    </row>
    <row r="9" spans="1:14" x14ac:dyDescent="0.25">
      <c r="A9" s="19" t="s">
        <v>40</v>
      </c>
      <c r="B9" s="19"/>
      <c r="C9" s="19"/>
      <c r="D9" s="122" t="s">
        <v>193</v>
      </c>
      <c r="E9" s="18"/>
      <c r="F9" s="18"/>
      <c r="G9" s="122" t="s">
        <v>196</v>
      </c>
      <c r="H9" s="18"/>
      <c r="I9" s="18"/>
      <c r="J9" s="122" t="s">
        <v>198</v>
      </c>
      <c r="K9" s="18"/>
      <c r="L9" s="18"/>
      <c r="M9" s="122" t="s">
        <v>200</v>
      </c>
      <c r="N9" s="20"/>
    </row>
    <row r="10" spans="1:14" x14ac:dyDescent="0.25">
      <c r="A10" s="19" t="s">
        <v>189</v>
      </c>
      <c r="B10" s="19"/>
      <c r="C10" s="19"/>
      <c r="D10" s="117"/>
      <c r="E10" s="18"/>
      <c r="F10" s="18"/>
      <c r="G10" s="117"/>
      <c r="H10" s="18"/>
      <c r="I10" s="18"/>
      <c r="J10" s="117"/>
      <c r="K10" s="18"/>
      <c r="L10" s="18"/>
      <c r="M10" s="117"/>
      <c r="N10" s="20"/>
    </row>
    <row r="11" spans="1:14" x14ac:dyDescent="0.25">
      <c r="A11" s="19" t="s">
        <v>126</v>
      </c>
      <c r="B11" s="19"/>
      <c r="C11" s="19"/>
      <c r="D11" s="118"/>
      <c r="E11" s="22"/>
      <c r="F11" s="22"/>
      <c r="G11" s="118"/>
      <c r="H11" s="22"/>
      <c r="I11" s="22"/>
      <c r="J11" s="118"/>
      <c r="K11" s="22"/>
      <c r="L11" s="22"/>
      <c r="M11" s="118"/>
      <c r="N11" s="21"/>
    </row>
    <row r="12" spans="1:14" x14ac:dyDescent="0.25">
      <c r="A12" s="19"/>
      <c r="B12" s="19"/>
      <c r="C12" s="19"/>
      <c r="D12" s="131" t="s">
        <v>201</v>
      </c>
      <c r="E12" s="124"/>
      <c r="F12" s="124"/>
      <c r="G12" s="124"/>
      <c r="H12" s="124"/>
      <c r="I12" s="124"/>
      <c r="J12" s="131" t="s">
        <v>203</v>
      </c>
      <c r="K12" s="124"/>
      <c r="L12" s="124"/>
      <c r="M12" s="124"/>
      <c r="N12" s="128"/>
    </row>
    <row r="13" spans="1:14" x14ac:dyDescent="0.25">
      <c r="A13" s="19"/>
      <c r="B13" s="19"/>
      <c r="C13" s="19"/>
      <c r="D13" s="132" t="s">
        <v>202</v>
      </c>
      <c r="E13" s="19"/>
      <c r="F13" s="19"/>
      <c r="G13" s="19"/>
      <c r="H13" s="19"/>
      <c r="I13" s="19"/>
      <c r="J13" s="132" t="s">
        <v>204</v>
      </c>
      <c r="K13" s="19"/>
      <c r="L13" s="19"/>
      <c r="M13" s="19"/>
      <c r="N13" s="129"/>
    </row>
    <row r="14" spans="1:14" x14ac:dyDescent="0.25">
      <c r="A14" s="19"/>
      <c r="B14" s="19"/>
      <c r="C14" s="19"/>
      <c r="D14" s="126"/>
      <c r="E14" s="19"/>
      <c r="F14" s="19"/>
      <c r="G14" s="19"/>
      <c r="H14" s="19"/>
      <c r="I14" s="19"/>
      <c r="J14" s="126"/>
      <c r="K14" s="19"/>
      <c r="L14" s="19"/>
      <c r="M14" s="19"/>
      <c r="N14" s="129"/>
    </row>
    <row r="15" spans="1:14" x14ac:dyDescent="0.25">
      <c r="A15" s="19"/>
      <c r="B15" s="19"/>
      <c r="C15" s="19"/>
      <c r="D15" s="126"/>
      <c r="E15" s="19"/>
      <c r="F15" s="19"/>
      <c r="G15" s="19"/>
      <c r="H15" s="19"/>
      <c r="I15" s="19"/>
      <c r="J15" s="126"/>
      <c r="K15" s="19"/>
      <c r="L15" s="19"/>
      <c r="M15" s="19"/>
      <c r="N15" s="129"/>
    </row>
    <row r="16" spans="1:14" x14ac:dyDescent="0.25">
      <c r="A16" s="19"/>
      <c r="B16" s="19"/>
      <c r="C16" s="19"/>
      <c r="D16" s="126"/>
      <c r="E16" s="19"/>
      <c r="F16" s="19"/>
      <c r="G16" s="19"/>
      <c r="H16" s="19"/>
      <c r="I16" s="19"/>
      <c r="J16" s="126"/>
      <c r="K16" s="19"/>
      <c r="L16" s="19"/>
      <c r="M16" s="19"/>
      <c r="N16" s="129"/>
    </row>
    <row r="17" spans="1:14" x14ac:dyDescent="0.25">
      <c r="A17" s="19"/>
      <c r="B17" s="19"/>
      <c r="C17" s="19"/>
      <c r="D17" s="126"/>
      <c r="E17" s="19"/>
      <c r="F17" s="19"/>
      <c r="G17" s="19"/>
      <c r="H17" s="19"/>
      <c r="I17" s="19"/>
      <c r="J17" s="126"/>
      <c r="K17" s="19"/>
      <c r="L17" s="19"/>
      <c r="M17" s="19"/>
      <c r="N17" s="129"/>
    </row>
    <row r="18" spans="1:14" x14ac:dyDescent="0.25">
      <c r="A18" s="19"/>
      <c r="B18" s="19"/>
      <c r="C18" s="19"/>
      <c r="D18" s="126"/>
      <c r="E18" s="19"/>
      <c r="F18" s="19"/>
      <c r="G18" s="19"/>
      <c r="H18" s="19"/>
      <c r="I18" s="19"/>
      <c r="J18" s="126"/>
      <c r="K18" s="19"/>
      <c r="L18" s="19"/>
      <c r="M18" s="19"/>
      <c r="N18" s="129"/>
    </row>
    <row r="19" spans="1:14" x14ac:dyDescent="0.25">
      <c r="A19" s="19"/>
      <c r="B19" s="19"/>
      <c r="C19" s="19"/>
      <c r="D19" s="126"/>
      <c r="E19" s="19"/>
      <c r="F19" s="19"/>
      <c r="G19" s="19"/>
      <c r="H19" s="19"/>
      <c r="I19" s="19"/>
      <c r="J19" s="126"/>
      <c r="K19" s="19"/>
      <c r="L19" s="19"/>
      <c r="M19" s="19"/>
      <c r="N19" s="129"/>
    </row>
    <row r="20" spans="1:14" x14ac:dyDescent="0.25">
      <c r="A20" s="19"/>
      <c r="B20" s="19"/>
      <c r="C20" s="19"/>
      <c r="D20" s="126"/>
      <c r="E20" s="19"/>
      <c r="F20" s="19"/>
      <c r="G20" s="19"/>
      <c r="H20" s="19"/>
      <c r="I20" s="19"/>
      <c r="J20" s="126"/>
      <c r="K20" s="19"/>
      <c r="L20" s="19"/>
      <c r="M20" s="19"/>
      <c r="N20" s="129"/>
    </row>
    <row r="21" spans="1:14" x14ac:dyDescent="0.25">
      <c r="A21" s="19"/>
      <c r="B21" s="19"/>
      <c r="C21" s="19"/>
      <c r="D21" s="126"/>
      <c r="E21" s="19"/>
      <c r="F21" s="19"/>
      <c r="G21" s="19"/>
      <c r="H21" s="19"/>
      <c r="I21" s="19"/>
      <c r="J21" s="126"/>
      <c r="K21" s="19"/>
      <c r="L21" s="19"/>
      <c r="M21" s="19"/>
      <c r="N21" s="129"/>
    </row>
    <row r="22" spans="1:14" x14ac:dyDescent="0.25">
      <c r="A22" s="19"/>
      <c r="B22" s="19"/>
      <c r="C22" s="19"/>
      <c r="D22" s="126"/>
      <c r="E22" s="19"/>
      <c r="F22" s="19"/>
      <c r="G22" s="19"/>
      <c r="H22" s="19"/>
      <c r="I22" s="19"/>
      <c r="J22" s="126"/>
      <c r="K22" s="19"/>
      <c r="L22" s="19"/>
      <c r="M22" s="19"/>
      <c r="N22" s="129"/>
    </row>
    <row r="23" spans="1:14" x14ac:dyDescent="0.25">
      <c r="A23" s="19"/>
      <c r="B23" s="19"/>
      <c r="C23" s="19"/>
      <c r="D23" s="126"/>
      <c r="E23" s="19"/>
      <c r="F23" s="19"/>
      <c r="G23" s="19"/>
      <c r="H23" s="19"/>
      <c r="I23" s="19"/>
      <c r="J23" s="126"/>
      <c r="K23" s="19"/>
      <c r="L23" s="19"/>
      <c r="M23" s="19"/>
      <c r="N23" s="129"/>
    </row>
    <row r="24" spans="1:14" x14ac:dyDescent="0.25">
      <c r="A24" s="19"/>
      <c r="B24" s="19"/>
      <c r="C24" s="19"/>
      <c r="D24" s="126"/>
      <c r="E24" s="19"/>
      <c r="F24" s="19"/>
      <c r="G24" s="19"/>
      <c r="H24" s="19"/>
      <c r="I24" s="19"/>
      <c r="J24" s="126"/>
      <c r="K24" s="19"/>
      <c r="L24" s="19"/>
      <c r="M24" s="19"/>
      <c r="N24" s="129"/>
    </row>
    <row r="25" spans="1:14" x14ac:dyDescent="0.25">
      <c r="A25" s="19"/>
      <c r="B25" s="19"/>
      <c r="C25" s="19"/>
      <c r="D25" s="127"/>
      <c r="E25" s="125"/>
      <c r="F25" s="125"/>
      <c r="G25" s="125"/>
      <c r="H25" s="125"/>
      <c r="I25" s="125"/>
      <c r="J25" s="127"/>
      <c r="K25" s="125"/>
      <c r="L25" s="125"/>
      <c r="M25" s="125"/>
      <c r="N25" s="130"/>
    </row>
    <row r="26" spans="1:14" x14ac:dyDescent="0.25">
      <c r="A26" s="19"/>
      <c r="B26" s="19"/>
      <c r="C26" s="19"/>
      <c r="D26" s="131" t="s">
        <v>205</v>
      </c>
      <c r="E26" s="124"/>
      <c r="F26" s="124"/>
      <c r="G26" s="124"/>
      <c r="H26" s="124"/>
      <c r="I26" s="124"/>
      <c r="J26" s="131" t="s">
        <v>207</v>
      </c>
      <c r="K26" s="124"/>
      <c r="L26" s="124"/>
      <c r="M26" s="124"/>
      <c r="N26" s="128"/>
    </row>
    <row r="27" spans="1:14" x14ac:dyDescent="0.25">
      <c r="A27" s="19"/>
      <c r="B27" s="19"/>
      <c r="C27" s="19"/>
      <c r="D27" s="132" t="s">
        <v>206</v>
      </c>
      <c r="E27" s="19"/>
      <c r="F27" s="19"/>
      <c r="G27" s="19"/>
      <c r="H27" s="19"/>
      <c r="I27" s="19"/>
      <c r="J27" s="132" t="s">
        <v>208</v>
      </c>
      <c r="K27" s="19"/>
      <c r="L27" s="19"/>
      <c r="M27" s="19"/>
      <c r="N27" s="129"/>
    </row>
    <row r="28" spans="1:14" x14ac:dyDescent="0.25">
      <c r="A28" s="19"/>
      <c r="B28" s="19"/>
      <c r="C28" s="19"/>
      <c r="D28" s="126"/>
      <c r="E28" s="19"/>
      <c r="F28" s="19"/>
      <c r="G28" s="19"/>
      <c r="H28" s="19"/>
      <c r="I28" s="19"/>
      <c r="J28" s="126"/>
      <c r="K28" s="19"/>
      <c r="L28" s="19"/>
      <c r="M28" s="19"/>
      <c r="N28" s="129"/>
    </row>
    <row r="29" spans="1:14" x14ac:dyDescent="0.25">
      <c r="A29" s="19"/>
      <c r="B29" s="19"/>
      <c r="C29" s="19"/>
      <c r="D29" s="126"/>
      <c r="E29" s="19"/>
      <c r="F29" s="19"/>
      <c r="G29" s="19"/>
      <c r="H29" s="19"/>
      <c r="I29" s="19"/>
      <c r="J29" s="126"/>
      <c r="K29" s="19"/>
      <c r="L29" s="19"/>
      <c r="M29" s="19"/>
      <c r="N29" s="129"/>
    </row>
    <row r="30" spans="1:14" x14ac:dyDescent="0.25">
      <c r="A30" s="19"/>
      <c r="B30" s="19"/>
      <c r="C30" s="19"/>
      <c r="D30" s="126"/>
      <c r="E30" s="19"/>
      <c r="F30" s="19"/>
      <c r="G30" s="19"/>
      <c r="H30" s="19"/>
      <c r="I30" s="19"/>
      <c r="J30" s="126"/>
      <c r="K30" s="19"/>
      <c r="L30" s="19"/>
      <c r="M30" s="19"/>
      <c r="N30" s="129"/>
    </row>
    <row r="31" spans="1:14" x14ac:dyDescent="0.25">
      <c r="A31" s="19"/>
      <c r="B31" s="19"/>
      <c r="C31" s="19"/>
      <c r="D31" s="126"/>
      <c r="E31" s="19"/>
      <c r="F31" s="19"/>
      <c r="G31" s="19"/>
      <c r="H31" s="19"/>
      <c r="I31" s="19"/>
      <c r="J31" s="126"/>
      <c r="K31" s="19"/>
      <c r="L31" s="19"/>
      <c r="M31" s="19"/>
      <c r="N31" s="129"/>
    </row>
    <row r="32" spans="1:14" x14ac:dyDescent="0.25">
      <c r="A32" s="19"/>
      <c r="B32" s="19"/>
      <c r="C32" s="19"/>
      <c r="D32" s="126"/>
      <c r="E32" s="19"/>
      <c r="F32" s="19"/>
      <c r="G32" s="19"/>
      <c r="H32" s="19"/>
      <c r="I32" s="19"/>
      <c r="J32" s="126"/>
      <c r="K32" s="19"/>
      <c r="L32" s="19"/>
      <c r="M32" s="19"/>
      <c r="N32" s="129"/>
    </row>
    <row r="33" spans="1:14" x14ac:dyDescent="0.25">
      <c r="A33" s="19"/>
      <c r="B33" s="19"/>
      <c r="C33" s="19"/>
      <c r="D33" s="126"/>
      <c r="E33" s="19"/>
      <c r="F33" s="19"/>
      <c r="G33" s="19"/>
      <c r="H33" s="19"/>
      <c r="I33" s="19"/>
      <c r="J33" s="126"/>
      <c r="K33" s="19"/>
      <c r="L33" s="19"/>
      <c r="M33" s="19"/>
      <c r="N33" s="129"/>
    </row>
    <row r="34" spans="1:14" x14ac:dyDescent="0.25">
      <c r="A34" s="19"/>
      <c r="B34" s="19"/>
      <c r="C34" s="19"/>
      <c r="D34" s="126"/>
      <c r="E34" s="19"/>
      <c r="F34" s="19"/>
      <c r="G34" s="19"/>
      <c r="H34" s="19"/>
      <c r="I34" s="19"/>
      <c r="J34" s="126"/>
      <c r="K34" s="19"/>
      <c r="L34" s="19"/>
      <c r="M34" s="19"/>
      <c r="N34" s="129"/>
    </row>
    <row r="35" spans="1:14" x14ac:dyDescent="0.25">
      <c r="A35" s="214" t="s">
        <v>209</v>
      </c>
      <c r="B35" s="194"/>
      <c r="C35" s="215"/>
      <c r="D35" s="126"/>
      <c r="E35" s="19"/>
      <c r="F35" s="19"/>
      <c r="G35" s="19"/>
      <c r="H35" s="19"/>
      <c r="I35" s="19"/>
      <c r="J35" s="126"/>
      <c r="K35" s="19"/>
      <c r="L35" s="19"/>
      <c r="M35" s="19"/>
      <c r="N35" s="129"/>
    </row>
    <row r="36" spans="1:14" x14ac:dyDescent="0.25">
      <c r="A36" s="19"/>
      <c r="B36" s="19"/>
      <c r="C36" s="19"/>
      <c r="D36" s="126"/>
      <c r="E36" s="19"/>
      <c r="F36" s="19"/>
      <c r="G36" s="19"/>
      <c r="H36" s="19"/>
      <c r="I36" s="19"/>
      <c r="J36" s="126"/>
      <c r="K36" s="19"/>
      <c r="L36" s="19"/>
      <c r="M36" s="19"/>
      <c r="N36" s="129"/>
    </row>
    <row r="37" spans="1:14" x14ac:dyDescent="0.25">
      <c r="A37" s="134" t="s">
        <v>1</v>
      </c>
      <c r="B37" s="133">
        <v>46238</v>
      </c>
      <c r="C37" s="19"/>
      <c r="D37" s="126"/>
      <c r="E37" s="19"/>
      <c r="F37" s="19"/>
      <c r="G37" s="19"/>
      <c r="H37" s="19"/>
      <c r="I37" s="19"/>
      <c r="J37" s="126"/>
      <c r="K37" s="19"/>
      <c r="L37" s="19"/>
      <c r="M37" s="19"/>
      <c r="N37" s="129"/>
    </row>
    <row r="38" spans="1:14" x14ac:dyDescent="0.25">
      <c r="A38" s="134" t="s">
        <v>210</v>
      </c>
      <c r="B38" s="19" t="s">
        <v>211</v>
      </c>
      <c r="C38" s="19"/>
      <c r="D38" s="126"/>
      <c r="E38" s="19"/>
      <c r="F38" s="19"/>
      <c r="G38" s="19"/>
      <c r="H38" s="19"/>
      <c r="I38" s="19"/>
      <c r="J38" s="126"/>
      <c r="K38" s="19"/>
      <c r="L38" s="19"/>
      <c r="M38" s="19"/>
      <c r="N38" s="129"/>
    </row>
    <row r="39" spans="1:14" x14ac:dyDescent="0.25">
      <c r="A39" s="134" t="s">
        <v>3</v>
      </c>
      <c r="B39" s="19" t="s">
        <v>212</v>
      </c>
      <c r="C39" s="19"/>
      <c r="D39" s="127"/>
      <c r="E39" s="125"/>
      <c r="F39" s="125"/>
      <c r="G39" s="125"/>
      <c r="H39" s="125"/>
      <c r="I39" s="125"/>
      <c r="J39" s="127"/>
      <c r="K39" s="125"/>
      <c r="L39" s="125"/>
      <c r="M39" s="125"/>
      <c r="N39" s="130"/>
    </row>
    <row r="40" spans="1:14" x14ac:dyDescent="0.25">
      <c r="A40" s="134" t="s">
        <v>213</v>
      </c>
      <c r="B40" s="19" t="s">
        <v>214</v>
      </c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x14ac:dyDescent="0.25">
      <c r="A41" s="134" t="s">
        <v>5</v>
      </c>
      <c r="B41" s="19" t="s">
        <v>214</v>
      </c>
      <c r="C41" s="19"/>
      <c r="D41" s="136" t="s">
        <v>219</v>
      </c>
      <c r="E41" s="136" t="s">
        <v>220</v>
      </c>
      <c r="F41" s="136" t="s">
        <v>221</v>
      </c>
      <c r="G41" s="136" t="s">
        <v>222</v>
      </c>
      <c r="H41" s="136" t="s">
        <v>223</v>
      </c>
      <c r="I41" s="18"/>
      <c r="J41" s="18"/>
      <c r="K41" s="18"/>
      <c r="L41" s="18"/>
      <c r="M41" s="18"/>
      <c r="N41" s="18"/>
    </row>
    <row r="42" spans="1:14" x14ac:dyDescent="0.25">
      <c r="A42" s="134" t="s">
        <v>83</v>
      </c>
      <c r="B42" s="19" t="s">
        <v>215</v>
      </c>
      <c r="C42" s="19"/>
      <c r="D42" s="137" t="s">
        <v>224</v>
      </c>
      <c r="E42" s="138" t="s">
        <v>225</v>
      </c>
      <c r="F42" s="139" t="s">
        <v>226</v>
      </c>
      <c r="G42" s="137" t="s">
        <v>227</v>
      </c>
      <c r="H42" s="139" t="s">
        <v>228</v>
      </c>
      <c r="I42" s="18"/>
      <c r="J42" s="18"/>
      <c r="K42" s="18"/>
      <c r="L42" s="18"/>
      <c r="M42" s="18"/>
      <c r="N42" s="18"/>
    </row>
    <row r="43" spans="1:14" x14ac:dyDescent="0.25">
      <c r="A43" s="134" t="s">
        <v>216</v>
      </c>
      <c r="B43" s="135" t="s">
        <v>217</v>
      </c>
      <c r="C43" s="19"/>
      <c r="D43" s="137" t="s">
        <v>229</v>
      </c>
      <c r="E43" s="138" t="s">
        <v>230</v>
      </c>
      <c r="F43" s="139" t="s">
        <v>231</v>
      </c>
      <c r="G43" s="137" t="s">
        <v>232</v>
      </c>
      <c r="H43" s="139" t="s">
        <v>233</v>
      </c>
      <c r="I43" s="18"/>
      <c r="J43" s="18"/>
      <c r="K43" s="18"/>
      <c r="L43" s="18"/>
      <c r="M43" s="18"/>
      <c r="N43" s="18"/>
    </row>
    <row r="44" spans="1:14" x14ac:dyDescent="0.25">
      <c r="A44" s="19"/>
      <c r="B44" s="19"/>
      <c r="C44" s="19"/>
      <c r="D44" s="137" t="s">
        <v>234</v>
      </c>
      <c r="E44" s="138" t="s">
        <v>235</v>
      </c>
      <c r="F44" s="139" t="s">
        <v>236</v>
      </c>
      <c r="G44" s="137" t="s">
        <v>170</v>
      </c>
      <c r="H44" s="139" t="s">
        <v>237</v>
      </c>
      <c r="I44" s="18"/>
      <c r="J44" s="18"/>
      <c r="K44" s="18"/>
      <c r="L44" s="18"/>
      <c r="M44" s="18"/>
      <c r="N44" s="18"/>
    </row>
    <row r="45" spans="1:14" x14ac:dyDescent="0.25">
      <c r="A45" s="19"/>
      <c r="B45" s="19"/>
      <c r="C45" s="19"/>
      <c r="D45" s="137" t="s">
        <v>238</v>
      </c>
      <c r="E45" s="138" t="s">
        <v>239</v>
      </c>
      <c r="F45" s="139" t="s">
        <v>240</v>
      </c>
      <c r="G45" s="137" t="s">
        <v>241</v>
      </c>
      <c r="H45" s="139" t="s">
        <v>242</v>
      </c>
      <c r="I45" s="18"/>
      <c r="J45" s="18"/>
      <c r="K45" s="18"/>
      <c r="L45" s="18"/>
      <c r="M45" s="18"/>
      <c r="N45" s="18"/>
    </row>
    <row r="46" spans="1:14" x14ac:dyDescent="0.25">
      <c r="A46" s="19"/>
      <c r="B46" s="19"/>
      <c r="C46" s="19"/>
      <c r="D46" s="140" t="s">
        <v>243</v>
      </c>
      <c r="E46" s="141" t="s">
        <v>244</v>
      </c>
      <c r="F46" s="142" t="s">
        <v>245</v>
      </c>
      <c r="G46" s="140" t="s">
        <v>246</v>
      </c>
      <c r="H46" s="142" t="s">
        <v>247</v>
      </c>
      <c r="I46" s="18"/>
      <c r="J46" s="18"/>
      <c r="K46" s="18"/>
      <c r="L46" s="18"/>
      <c r="M46" s="18"/>
      <c r="N46" s="18"/>
    </row>
    <row r="47" spans="1:14" x14ac:dyDescent="0.25">
      <c r="A47" s="19"/>
      <c r="B47" s="19"/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x14ac:dyDescent="0.25">
      <c r="A48" s="19"/>
      <c r="B48" s="19"/>
      <c r="C48" s="19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3" x14ac:dyDescent="0.25">
      <c r="A49" s="18"/>
      <c r="B49" s="18"/>
      <c r="C49" s="18"/>
    </row>
    <row r="50" spans="1:3" x14ac:dyDescent="0.25">
      <c r="A50" s="18"/>
      <c r="B50" s="18"/>
      <c r="C50" s="18"/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</sheetData>
  <mergeCells count="6">
    <mergeCell ref="A35:C35"/>
    <mergeCell ref="A1:N1"/>
    <mergeCell ref="A2:N2"/>
    <mergeCell ref="A4:C4"/>
    <mergeCell ref="D4:N4"/>
    <mergeCell ref="D5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E1A7-D7FB-4712-81B9-0C6FFD695EBF}">
  <dimension ref="B2:C13"/>
  <sheetViews>
    <sheetView zoomScaleNormal="60" zoomScaleSheetLayoutView="100" workbookViewId="0"/>
  </sheetViews>
  <sheetFormatPr defaultRowHeight="15" x14ac:dyDescent="0.25"/>
  <cols>
    <col min="2" max="2" width="45.28515625" bestFit="1" customWidth="1"/>
    <col min="3" max="3" width="13" bestFit="1" customWidth="1"/>
  </cols>
  <sheetData>
    <row r="2" spans="2:3" x14ac:dyDescent="0.25">
      <c r="B2" t="s">
        <v>275</v>
      </c>
      <c r="C2" s="146">
        <v>182000</v>
      </c>
    </row>
    <row r="3" spans="2:3" x14ac:dyDescent="0.25">
      <c r="B3" t="s">
        <v>277</v>
      </c>
      <c r="C3" s="145">
        <f>C2*200</f>
        <v>36400000</v>
      </c>
    </row>
    <row r="4" spans="2:3" x14ac:dyDescent="0.25">
      <c r="B4" t="s">
        <v>276</v>
      </c>
      <c r="C4" s="145">
        <f>C2*0.1</f>
        <v>18200</v>
      </c>
    </row>
    <row r="5" spans="2:3" x14ac:dyDescent="0.25">
      <c r="B5" t="s">
        <v>278</v>
      </c>
      <c r="C5" s="145">
        <f>C2*4</f>
        <v>728000</v>
      </c>
    </row>
    <row r="6" spans="2:3" x14ac:dyDescent="0.25">
      <c r="B6" t="s">
        <v>279</v>
      </c>
      <c r="C6" s="145">
        <f>C2*0.55</f>
        <v>100100.00000000001</v>
      </c>
    </row>
    <row r="7" spans="2:3" x14ac:dyDescent="0.25">
      <c r="C7" s="145"/>
    </row>
    <row r="8" spans="2:3" x14ac:dyDescent="0.25">
      <c r="C8" s="145"/>
    </row>
    <row r="9" spans="2:3" x14ac:dyDescent="0.25">
      <c r="C9" s="145">
        <v>52000</v>
      </c>
    </row>
    <row r="10" spans="2:3" x14ac:dyDescent="0.25">
      <c r="C10" s="145">
        <v>35000</v>
      </c>
    </row>
    <row r="11" spans="2:3" x14ac:dyDescent="0.25">
      <c r="C11">
        <v>60000</v>
      </c>
    </row>
    <row r="12" spans="2:3" x14ac:dyDescent="0.25">
      <c r="C12" s="145">
        <v>35000</v>
      </c>
    </row>
    <row r="13" spans="2:3" x14ac:dyDescent="0.25">
      <c r="C13" s="151">
        <f>SUM(C9:C12)</f>
        <v>182000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A2A5-4462-406C-AA53-A90A9B4A2C96}">
  <dimension ref="A1:H80"/>
  <sheetViews>
    <sheetView tabSelected="1" topLeftCell="A31" zoomScaleNormal="60" zoomScaleSheetLayoutView="100" workbookViewId="0">
      <selection activeCell="F44" sqref="F44"/>
    </sheetView>
  </sheetViews>
  <sheetFormatPr defaultColWidth="8.5703125" defaultRowHeight="15" x14ac:dyDescent="0.25"/>
  <cols>
    <col min="1" max="1" width="39.42578125" style="16" bestFit="1" customWidth="1"/>
    <col min="2" max="2" width="28" style="16" bestFit="1" customWidth="1"/>
    <col min="3" max="3" width="20" style="16" customWidth="1"/>
    <col min="4" max="4" width="39.5703125" style="16" bestFit="1" customWidth="1"/>
    <col min="5" max="5" width="28.7109375" style="16" bestFit="1" customWidth="1"/>
    <col min="6" max="6" width="21.7109375" style="16" bestFit="1" customWidth="1"/>
    <col min="7" max="7" width="19.85546875" style="16" bestFit="1" customWidth="1"/>
    <col min="8" max="8" width="37.5703125" style="16" bestFit="1" customWidth="1"/>
    <col min="9" max="16384" width="8.5703125" style="16"/>
  </cols>
  <sheetData>
    <row r="1" spans="1:8" ht="48" customHeight="1" x14ac:dyDescent="0.4">
      <c r="A1" s="221" t="s">
        <v>310</v>
      </c>
      <c r="B1" s="221"/>
      <c r="C1" s="221"/>
      <c r="D1" s="221"/>
      <c r="E1"/>
      <c r="F1"/>
      <c r="G1"/>
      <c r="H1"/>
    </row>
    <row r="2" spans="1:8" ht="27.95" customHeight="1" x14ac:dyDescent="0.25">
      <c r="A2" s="222" t="s">
        <v>311</v>
      </c>
      <c r="B2" s="222"/>
      <c r="C2" s="222"/>
      <c r="D2" s="222"/>
      <c r="E2"/>
      <c r="F2"/>
      <c r="G2"/>
      <c r="H2"/>
    </row>
    <row r="3" spans="1:8" x14ac:dyDescent="0.25">
      <c r="A3"/>
      <c r="B3"/>
      <c r="C3"/>
      <c r="D3"/>
      <c r="E3"/>
      <c r="F3"/>
      <c r="G3"/>
      <c r="H3"/>
    </row>
    <row r="4" spans="1:8" ht="15.75" x14ac:dyDescent="0.25">
      <c r="A4" s="223" t="s">
        <v>312</v>
      </c>
      <c r="B4" s="223"/>
      <c r="C4" s="223"/>
      <c r="D4" s="223"/>
      <c r="E4"/>
      <c r="F4"/>
      <c r="G4"/>
      <c r="H4"/>
    </row>
    <row r="5" spans="1:8" x14ac:dyDescent="0.25">
      <c r="A5" s="153" t="s">
        <v>313</v>
      </c>
      <c r="B5" s="2">
        <f>'Income &amp; Bills'!B4</f>
        <v>192000</v>
      </c>
      <c r="C5"/>
      <c r="D5"/>
      <c r="E5"/>
      <c r="F5"/>
      <c r="G5"/>
      <c r="H5"/>
    </row>
    <row r="6" spans="1:8" x14ac:dyDescent="0.25">
      <c r="A6" s="153" t="s">
        <v>314</v>
      </c>
      <c r="B6" s="2">
        <f>'Income &amp; Bills'!B7</f>
        <v>82358</v>
      </c>
      <c r="C6"/>
      <c r="D6"/>
      <c r="E6"/>
      <c r="F6"/>
      <c r="G6"/>
      <c r="H6"/>
    </row>
    <row r="7" spans="1:8" x14ac:dyDescent="0.25">
      <c r="A7" s="153" t="s">
        <v>315</v>
      </c>
      <c r="B7" s="2">
        <f>B5-B6</f>
        <v>109642</v>
      </c>
      <c r="C7"/>
      <c r="D7"/>
      <c r="E7"/>
      <c r="F7"/>
      <c r="G7"/>
      <c r="H7"/>
    </row>
    <row r="8" spans="1:8" x14ac:dyDescent="0.25">
      <c r="A8" s="153" t="s">
        <v>316</v>
      </c>
      <c r="B8" s="156">
        <f>IF(B5=0,0,B6/B5)</f>
        <v>0.42894791666666665</v>
      </c>
      <c r="C8"/>
      <c r="D8"/>
      <c r="E8"/>
      <c r="F8"/>
      <c r="G8"/>
      <c r="H8"/>
    </row>
    <row r="9" spans="1:8" x14ac:dyDescent="0.25">
      <c r="A9" s="153" t="s">
        <v>317</v>
      </c>
      <c r="B9" s="157" t="str">
        <f>IF(B5-B6&gt;=B13,"YES — ON TARGET","NO — ADJUST PLAN")</f>
        <v>YES — ON TARGET</v>
      </c>
      <c r="C9"/>
      <c r="D9"/>
      <c r="E9"/>
      <c r="F9"/>
      <c r="G9"/>
      <c r="H9"/>
    </row>
    <row r="10" spans="1:8" x14ac:dyDescent="0.25">
      <c r="A10" s="153" t="s">
        <v>318</v>
      </c>
      <c r="B10" s="2">
        <f>B5-B6-B13</f>
        <v>32842</v>
      </c>
      <c r="C10"/>
      <c r="D10"/>
      <c r="E10"/>
      <c r="F10"/>
      <c r="G10"/>
      <c r="H10"/>
    </row>
    <row r="11" spans="1:8" x14ac:dyDescent="0.25">
      <c r="A11" s="153"/>
      <c r="B11" s="2"/>
      <c r="C11"/>
      <c r="D11"/>
      <c r="E11"/>
      <c r="F11"/>
      <c r="G11"/>
      <c r="H11"/>
    </row>
    <row r="12" spans="1:8" ht="15.75" x14ac:dyDescent="0.25">
      <c r="A12" s="223" t="s">
        <v>319</v>
      </c>
      <c r="B12" s="224"/>
      <c r="C12" s="223"/>
      <c r="D12" s="223"/>
      <c r="E12"/>
      <c r="F12"/>
      <c r="G12"/>
      <c r="H12"/>
    </row>
    <row r="13" spans="1:8" x14ac:dyDescent="0.25">
      <c r="A13" s="153" t="s">
        <v>320</v>
      </c>
      <c r="B13" s="2">
        <f>B5*40%</f>
        <v>76800</v>
      </c>
      <c r="C13"/>
      <c r="D13"/>
      <c r="E13"/>
      <c r="F13"/>
      <c r="G13"/>
      <c r="H13"/>
    </row>
    <row r="14" spans="1:8" x14ac:dyDescent="0.25">
      <c r="A14" s="153" t="s">
        <v>321</v>
      </c>
      <c r="B14" s="2">
        <f>B13/2</f>
        <v>38400</v>
      </c>
      <c r="C14"/>
      <c r="D14"/>
      <c r="E14"/>
      <c r="F14"/>
      <c r="G14"/>
      <c r="H14"/>
    </row>
    <row r="15" spans="1:8" x14ac:dyDescent="0.25">
      <c r="A15" s="153" t="s">
        <v>322</v>
      </c>
      <c r="B15" s="2">
        <f>B5-B13</f>
        <v>115200</v>
      </c>
      <c r="C15"/>
      <c r="D15"/>
      <c r="E15"/>
      <c r="F15"/>
      <c r="G15"/>
      <c r="H15"/>
    </row>
    <row r="16" spans="1:8" x14ac:dyDescent="0.25">
      <c r="A16" s="153" t="s">
        <v>323</v>
      </c>
      <c r="B16" s="2">
        <f>MAX(0,B15-B6)</f>
        <v>32842</v>
      </c>
      <c r="C16"/>
      <c r="D16"/>
      <c r="E16"/>
      <c r="F16"/>
      <c r="G16"/>
      <c r="H16"/>
    </row>
    <row r="17" spans="1:8" x14ac:dyDescent="0.25">
      <c r="A17" s="153" t="s">
        <v>324</v>
      </c>
      <c r="B17" s="2">
        <f>B6*3</f>
        <v>247074</v>
      </c>
      <c r="C17"/>
      <c r="D17"/>
      <c r="E17"/>
      <c r="F17"/>
      <c r="G17"/>
      <c r="H17"/>
    </row>
    <row r="18" spans="1:8" x14ac:dyDescent="0.25">
      <c r="A18" s="153" t="s">
        <v>325</v>
      </c>
      <c r="B18" s="2">
        <f>B6*6</f>
        <v>494148</v>
      </c>
      <c r="C18"/>
      <c r="D18"/>
      <c r="E18"/>
      <c r="F18"/>
      <c r="G18"/>
      <c r="H18"/>
    </row>
    <row r="19" spans="1:8" x14ac:dyDescent="0.25">
      <c r="A19"/>
      <c r="B19"/>
      <c r="C19"/>
      <c r="D19"/>
      <c r="E19"/>
      <c r="F19"/>
      <c r="G19"/>
      <c r="H19"/>
    </row>
    <row r="20" spans="1:8" x14ac:dyDescent="0.25">
      <c r="A20" s="225" t="str">
        <f>"Transfer "&amp;TEXT(B14,"₱#,##0.00")&amp;" each payday. Reserve "&amp;TEXT(B6/2,"₱#,##0.00")&amp;" for fixed needs and limit variable spending to "&amp;TEXT(B16/2,"₱#,##0.00")&amp;" per payday. This keeps total savings at "&amp;TEXT(B13,"₱#,##0.00")&amp;" per month."</f>
        <v>Transfer ₱38,400.00 each payday. Reserve ₱41,179.00 for fixed needs and limit variable spending to ₱16,421.00 per payday. This keeps total savings at ₱76,800.00 per month.</v>
      </c>
      <c r="B20" s="225"/>
      <c r="C20" s="225"/>
      <c r="D20" s="225"/>
      <c r="E20"/>
      <c r="F20"/>
      <c r="G20"/>
      <c r="H20"/>
    </row>
    <row r="21" spans="1:8" ht="15.75" x14ac:dyDescent="0.25">
      <c r="A21" s="226" t="s">
        <v>326</v>
      </c>
      <c r="B21" s="226"/>
      <c r="C21" s="226"/>
      <c r="D21" s="226"/>
      <c r="E21"/>
      <c r="F21"/>
      <c r="G21"/>
      <c r="H21"/>
    </row>
    <row r="22" spans="1:8" ht="45" x14ac:dyDescent="0.25">
      <c r="A22" s="155" t="s">
        <v>327</v>
      </c>
      <c r="B22" s="155"/>
      <c r="C22" s="155"/>
      <c r="D22" s="155"/>
      <c r="E22"/>
      <c r="F22"/>
      <c r="G22"/>
      <c r="H22"/>
    </row>
    <row r="23" spans="1:8" x14ac:dyDescent="0.25">
      <c r="A23"/>
      <c r="B23"/>
      <c r="C23"/>
      <c r="D23"/>
      <c r="E23"/>
      <c r="F23"/>
      <c r="G23"/>
      <c r="H23"/>
    </row>
    <row r="24" spans="1:8" x14ac:dyDescent="0.25">
      <c r="A24" s="158" t="s">
        <v>293</v>
      </c>
      <c r="B24" s="158" t="s">
        <v>328</v>
      </c>
      <c r="C24" s="158" t="s">
        <v>329</v>
      </c>
      <c r="D24" s="158" t="s">
        <v>330</v>
      </c>
      <c r="E24"/>
      <c r="F24"/>
      <c r="G24"/>
      <c r="H24"/>
    </row>
    <row r="25" spans="1:8" x14ac:dyDescent="0.25">
      <c r="A25" s="95" t="s">
        <v>331</v>
      </c>
      <c r="B25" s="159">
        <f>$B$5/2</f>
        <v>96000</v>
      </c>
      <c r="C25" s="159">
        <f>$B$5/2</f>
        <v>96000</v>
      </c>
      <c r="D25" s="159">
        <f t="shared" ref="D25:D33" si="0">SUM(B25:C25)</f>
        <v>192000</v>
      </c>
      <c r="E25"/>
      <c r="F25"/>
      <c r="G25"/>
      <c r="H25"/>
    </row>
    <row r="26" spans="1:8" x14ac:dyDescent="0.25">
      <c r="A26" s="160" t="s">
        <v>332</v>
      </c>
      <c r="B26" s="161">
        <f>$B$13/2</f>
        <v>38400</v>
      </c>
      <c r="C26" s="161">
        <f>$B$13/2</f>
        <v>38400</v>
      </c>
      <c r="D26" s="161">
        <f t="shared" si="0"/>
        <v>76800</v>
      </c>
      <c r="E26"/>
      <c r="F26"/>
      <c r="G26"/>
      <c r="H26"/>
    </row>
    <row r="27" spans="1:8" x14ac:dyDescent="0.25">
      <c r="A27" s="95" t="s">
        <v>333</v>
      </c>
      <c r="B27" s="159">
        <f>MIN(Miscellaneous!$C$4/2,B26)</f>
        <v>9100</v>
      </c>
      <c r="C27" s="159">
        <f>MIN(Miscellaneous!$C$4/2,C26)</f>
        <v>9100</v>
      </c>
      <c r="D27" s="159">
        <f t="shared" si="0"/>
        <v>18200</v>
      </c>
      <c r="E27"/>
      <c r="F27"/>
      <c r="G27"/>
      <c r="H27"/>
    </row>
    <row r="28" spans="1:8" x14ac:dyDescent="0.25">
      <c r="A28" s="162" t="s">
        <v>334</v>
      </c>
      <c r="B28" s="163">
        <f>B26-B27</f>
        <v>29300</v>
      </c>
      <c r="C28" s="163">
        <f>C26-C27</f>
        <v>29300</v>
      </c>
      <c r="D28" s="163">
        <f t="shared" si="0"/>
        <v>58600</v>
      </c>
      <c r="E28"/>
      <c r="F28"/>
      <c r="G28"/>
      <c r="H28"/>
    </row>
    <row r="29" spans="1:8" x14ac:dyDescent="0.25">
      <c r="A29" s="95" t="s">
        <v>335</v>
      </c>
      <c r="B29" s="159">
        <f>$B$6/2</f>
        <v>41179</v>
      </c>
      <c r="C29" s="159">
        <f>$B$6/2</f>
        <v>41179</v>
      </c>
      <c r="D29" s="159">
        <f t="shared" si="0"/>
        <v>82358</v>
      </c>
      <c r="E29"/>
      <c r="F29"/>
      <c r="G29"/>
      <c r="H29"/>
    </row>
    <row r="30" spans="1:8" x14ac:dyDescent="0.25">
      <c r="A30" s="162" t="s">
        <v>323</v>
      </c>
      <c r="B30" s="163">
        <f>$B$16/2</f>
        <v>16421</v>
      </c>
      <c r="C30" s="163">
        <f>$B$16/2</f>
        <v>16421</v>
      </c>
      <c r="D30" s="163">
        <f t="shared" si="0"/>
        <v>32842</v>
      </c>
      <c r="E30"/>
      <c r="F30"/>
      <c r="G30"/>
      <c r="H30"/>
    </row>
    <row r="31" spans="1:8" x14ac:dyDescent="0.25">
      <c r="A31" s="164" t="s">
        <v>336</v>
      </c>
      <c r="B31" s="165">
        <f>B29+B30</f>
        <v>57600</v>
      </c>
      <c r="C31" s="165">
        <f>C29+C30</f>
        <v>57600</v>
      </c>
      <c r="D31" s="165">
        <f t="shared" si="0"/>
        <v>115200</v>
      </c>
      <c r="E31"/>
      <c r="F31"/>
      <c r="G31"/>
      <c r="H31"/>
    </row>
    <row r="32" spans="1:8" x14ac:dyDescent="0.25">
      <c r="A32" s="162" t="s">
        <v>337</v>
      </c>
      <c r="B32" s="163">
        <f>B25-B26-B31</f>
        <v>0</v>
      </c>
      <c r="C32" s="163">
        <f>C25-C26-C31</f>
        <v>0</v>
      </c>
      <c r="D32" s="163">
        <f t="shared" si="0"/>
        <v>0</v>
      </c>
      <c r="E32"/>
      <c r="F32"/>
      <c r="G32"/>
      <c r="H32"/>
    </row>
    <row r="33" spans="1:8" x14ac:dyDescent="0.25">
      <c r="A33" s="164" t="s">
        <v>338</v>
      </c>
      <c r="B33" s="165">
        <f>SUM(B26,B31,B32)</f>
        <v>96000</v>
      </c>
      <c r="C33" s="165">
        <f>SUM(C26,C31,C32)</f>
        <v>96000</v>
      </c>
      <c r="D33" s="165">
        <f t="shared" si="0"/>
        <v>192000</v>
      </c>
      <c r="E33"/>
      <c r="F33"/>
      <c r="G33"/>
      <c r="H33"/>
    </row>
    <row r="34" spans="1:8" x14ac:dyDescent="0.25">
      <c r="B34" s="2"/>
      <c r="C34" s="2"/>
      <c r="D34" s="2"/>
      <c r="E34"/>
      <c r="F34"/>
      <c r="G34"/>
      <c r="H34"/>
    </row>
    <row r="35" spans="1:8" ht="15.75" x14ac:dyDescent="0.25">
      <c r="A35" s="218" t="s">
        <v>339</v>
      </c>
      <c r="B35" s="227"/>
      <c r="C35" s="227"/>
      <c r="D35" s="227"/>
      <c r="E35"/>
      <c r="F35"/>
      <c r="G35"/>
      <c r="H35"/>
    </row>
    <row r="36" spans="1:8" x14ac:dyDescent="0.25">
      <c r="A36" s="166" t="s">
        <v>340</v>
      </c>
      <c r="B36" s="167" t="s">
        <v>341</v>
      </c>
      <c r="C36" s="167" t="s">
        <v>294</v>
      </c>
      <c r="D36" s="167" t="s">
        <v>69</v>
      </c>
      <c r="E36"/>
      <c r="F36"/>
      <c r="G36"/>
      <c r="H36"/>
    </row>
    <row r="37" spans="1:8" ht="30" x14ac:dyDescent="0.25">
      <c r="A37" s="95" t="s">
        <v>295</v>
      </c>
      <c r="B37" s="159">
        <f>B27</f>
        <v>9100</v>
      </c>
      <c r="C37" s="159">
        <f>D27</f>
        <v>18200</v>
      </c>
      <c r="D37" s="168" t="s">
        <v>343</v>
      </c>
      <c r="E37"/>
      <c r="F37"/>
      <c r="G37"/>
      <c r="H37"/>
    </row>
    <row r="38" spans="1:8" x14ac:dyDescent="0.25">
      <c r="A38" s="162" t="s">
        <v>40</v>
      </c>
      <c r="B38" s="163">
        <f>B28</f>
        <v>29300</v>
      </c>
      <c r="C38" s="163">
        <f>D28</f>
        <v>58600</v>
      </c>
      <c r="D38" s="169" t="s">
        <v>344</v>
      </c>
      <c r="E38"/>
      <c r="F38"/>
      <c r="G38"/>
      <c r="H38"/>
    </row>
    <row r="39" spans="1:8" ht="30" x14ac:dyDescent="0.25">
      <c r="A39" s="164" t="s">
        <v>342</v>
      </c>
      <c r="B39" s="165">
        <f>SUM(B37:B38)</f>
        <v>38400</v>
      </c>
      <c r="C39" s="165">
        <f>SUM(C37:C38)</f>
        <v>76800</v>
      </c>
      <c r="D39" s="170" t="s">
        <v>345</v>
      </c>
      <c r="E39"/>
      <c r="F39"/>
      <c r="G39"/>
      <c r="H39"/>
    </row>
    <row r="40" spans="1:8" x14ac:dyDescent="0.25">
      <c r="A40" s="95" t="s">
        <v>292</v>
      </c>
      <c r="B40" s="171">
        <f>B39/$B$5</f>
        <v>0.2</v>
      </c>
      <c r="C40" s="171">
        <f>C39/$B$5</f>
        <v>0.4</v>
      </c>
      <c r="D40" s="172" t="s">
        <v>346</v>
      </c>
      <c r="E40"/>
      <c r="F40"/>
      <c r="G40"/>
      <c r="H40"/>
    </row>
    <row r="41" spans="1:8" x14ac:dyDescent="0.25">
      <c r="B41" s="15"/>
      <c r="C41" s="15"/>
      <c r="D41" s="15"/>
      <c r="E41"/>
      <c r="F41"/>
      <c r="G41"/>
      <c r="H41"/>
    </row>
    <row r="42" spans="1:8" ht="15.75" x14ac:dyDescent="0.25">
      <c r="A42" s="218" t="s">
        <v>347</v>
      </c>
      <c r="B42" s="219"/>
      <c r="C42" s="219"/>
      <c r="D42" s="219"/>
      <c r="E42"/>
      <c r="F42"/>
      <c r="G42"/>
      <c r="H42"/>
    </row>
    <row r="43" spans="1:8" x14ac:dyDescent="0.25">
      <c r="A43" s="207"/>
      <c r="B43" s="220"/>
      <c r="C43" s="220"/>
      <c r="D43" s="220"/>
      <c r="E43"/>
      <c r="F43"/>
      <c r="G43"/>
      <c r="H43"/>
    </row>
    <row r="44" spans="1:8" ht="45" x14ac:dyDescent="0.25">
      <c r="A44" s="95">
        <v>1</v>
      </c>
      <c r="B44" s="173" t="s">
        <v>348</v>
      </c>
      <c r="C44" s="173"/>
      <c r="D44" s="172" t="s">
        <v>349</v>
      </c>
      <c r="E44"/>
      <c r="F44"/>
      <c r="G44"/>
      <c r="H44"/>
    </row>
    <row r="45" spans="1:8" ht="30" x14ac:dyDescent="0.25">
      <c r="A45" s="162">
        <v>2</v>
      </c>
      <c r="B45" s="174" t="s">
        <v>350</v>
      </c>
      <c r="C45" s="174"/>
      <c r="D45" s="175" t="s">
        <v>351</v>
      </c>
      <c r="E45"/>
      <c r="F45"/>
      <c r="G45"/>
      <c r="H45"/>
    </row>
    <row r="46" spans="1:8" ht="30" x14ac:dyDescent="0.25">
      <c r="A46" s="95">
        <v>3</v>
      </c>
      <c r="B46" s="173" t="s">
        <v>352</v>
      </c>
      <c r="C46" s="173"/>
      <c r="D46" s="172" t="s">
        <v>353</v>
      </c>
      <c r="E46"/>
      <c r="F46"/>
      <c r="G46"/>
      <c r="H46"/>
    </row>
    <row r="47" spans="1:8" ht="30" x14ac:dyDescent="0.25">
      <c r="A47" s="162">
        <v>4</v>
      </c>
      <c r="B47" s="174" t="s">
        <v>354</v>
      </c>
      <c r="C47" s="174"/>
      <c r="D47" s="175" t="s">
        <v>355</v>
      </c>
      <c r="E47"/>
      <c r="F47"/>
      <c r="G47"/>
      <c r="H47"/>
    </row>
    <row r="48" spans="1:8" x14ac:dyDescent="0.25">
      <c r="B48" s="15"/>
      <c r="C48" s="15"/>
      <c r="D48" s="15"/>
      <c r="E48"/>
      <c r="F48"/>
      <c r="G48"/>
      <c r="H48"/>
    </row>
    <row r="49" spans="1:8" ht="15.75" x14ac:dyDescent="0.25">
      <c r="A49" s="218" t="s">
        <v>356</v>
      </c>
      <c r="B49" s="219"/>
      <c r="C49" s="219"/>
      <c r="D49" s="219"/>
      <c r="E49"/>
      <c r="F49"/>
      <c r="G49"/>
      <c r="H49"/>
    </row>
    <row r="50" spans="1:8" x14ac:dyDescent="0.25">
      <c r="A50" s="176" t="s">
        <v>357</v>
      </c>
      <c r="B50" s="177" t="s">
        <v>294</v>
      </c>
      <c r="C50" s="177" t="s">
        <v>328</v>
      </c>
      <c r="D50" s="177" t="s">
        <v>329</v>
      </c>
      <c r="E50"/>
      <c r="F50"/>
      <c r="G50"/>
      <c r="H50"/>
    </row>
    <row r="51" spans="1:8" x14ac:dyDescent="0.25">
      <c r="A51" s="95" t="str">
        <f>'Income &amp; Bills'!A8</f>
        <v>Condo Amortization</v>
      </c>
      <c r="B51" s="159">
        <f>'Income &amp; Bills'!B8</f>
        <v>6000</v>
      </c>
      <c r="C51" s="159">
        <f t="shared" ref="C51:C62" si="1">B51/2</f>
        <v>3000</v>
      </c>
      <c r="D51" s="159">
        <f t="shared" ref="D51:D62" si="2">B51/2</f>
        <v>3000</v>
      </c>
      <c r="E51"/>
      <c r="F51"/>
      <c r="G51"/>
      <c r="H51"/>
    </row>
    <row r="52" spans="1:8" x14ac:dyDescent="0.25">
      <c r="A52" s="162" t="str">
        <f>'Income &amp; Bills'!A9</f>
        <v>Car Insurance</v>
      </c>
      <c r="B52" s="163">
        <f>'Income &amp; Bills'!B9</f>
        <v>2482</v>
      </c>
      <c r="C52" s="163">
        <f t="shared" si="1"/>
        <v>1241</v>
      </c>
      <c r="D52" s="163">
        <f t="shared" si="2"/>
        <v>1241</v>
      </c>
      <c r="E52"/>
      <c r="F52"/>
      <c r="G52"/>
      <c r="H52"/>
    </row>
    <row r="53" spans="1:8" x14ac:dyDescent="0.25">
      <c r="A53" s="95" t="str">
        <f>'Income &amp; Bills'!A10</f>
        <v>Easycash (Car)</v>
      </c>
      <c r="B53" s="159">
        <f>'Income &amp; Bills'!B10</f>
        <v>13403</v>
      </c>
      <c r="C53" s="159">
        <f t="shared" si="1"/>
        <v>6701.5</v>
      </c>
      <c r="D53" s="159">
        <f t="shared" si="2"/>
        <v>6701.5</v>
      </c>
      <c r="E53"/>
      <c r="F53"/>
      <c r="G53"/>
      <c r="H53"/>
    </row>
    <row r="54" spans="1:8" x14ac:dyDescent="0.25">
      <c r="A54" s="162" t="str">
        <f>'Income &amp; Bills'!A11</f>
        <v>Avida Investment</v>
      </c>
      <c r="B54" s="163">
        <f>'Income &amp; Bills'!B11</f>
        <v>11173</v>
      </c>
      <c r="C54" s="163">
        <f t="shared" si="1"/>
        <v>5586.5</v>
      </c>
      <c r="D54" s="163">
        <f t="shared" si="2"/>
        <v>5586.5</v>
      </c>
      <c r="E54"/>
      <c r="F54"/>
      <c r="G54"/>
      <c r="H54"/>
    </row>
    <row r="55" spans="1:8" x14ac:dyDescent="0.25">
      <c r="A55" s="95" t="str">
        <f>'Income &amp; Bills'!A12</f>
        <v>Parking Rent</v>
      </c>
      <c r="B55" s="159">
        <f>'Income &amp; Bills'!B12</f>
        <v>4000</v>
      </c>
      <c r="C55" s="159">
        <f t="shared" si="1"/>
        <v>2000</v>
      </c>
      <c r="D55" s="159">
        <f t="shared" si="2"/>
        <v>2000</v>
      </c>
      <c r="E55"/>
      <c r="F55"/>
      <c r="G55"/>
      <c r="H55"/>
    </row>
    <row r="56" spans="1:8" x14ac:dyDescent="0.25">
      <c r="A56" s="162" t="str">
        <f>'Income &amp; Bills'!A13</f>
        <v>Condo Dues</v>
      </c>
      <c r="B56" s="163">
        <f>'Income &amp; Bills'!B13</f>
        <v>5100</v>
      </c>
      <c r="C56" s="163">
        <f t="shared" si="1"/>
        <v>2550</v>
      </c>
      <c r="D56" s="163">
        <f t="shared" si="2"/>
        <v>2550</v>
      </c>
      <c r="E56"/>
      <c r="F56"/>
      <c r="G56"/>
      <c r="H56"/>
    </row>
    <row r="57" spans="1:8" x14ac:dyDescent="0.25">
      <c r="A57" s="95" t="str">
        <f>'Income &amp; Bills'!A14</f>
        <v>Grocery</v>
      </c>
      <c r="B57" s="159">
        <f>'Income &amp; Bills'!B14</f>
        <v>15000</v>
      </c>
      <c r="C57" s="159">
        <f t="shared" si="1"/>
        <v>7500</v>
      </c>
      <c r="D57" s="159">
        <f t="shared" si="2"/>
        <v>7500</v>
      </c>
      <c r="E57"/>
      <c r="F57"/>
      <c r="G57"/>
      <c r="H57"/>
    </row>
    <row r="58" spans="1:8" x14ac:dyDescent="0.25">
      <c r="A58" s="162" t="str">
        <f>'Income &amp; Bills'!A15</f>
        <v>Allowance (Shei)</v>
      </c>
      <c r="B58" s="163">
        <f>'Income &amp; Bills'!B15</f>
        <v>8000</v>
      </c>
      <c r="C58" s="163">
        <f t="shared" si="1"/>
        <v>4000</v>
      </c>
      <c r="D58" s="163">
        <f t="shared" si="2"/>
        <v>4000</v>
      </c>
      <c r="E58"/>
      <c r="F58"/>
      <c r="G58"/>
      <c r="H58"/>
    </row>
    <row r="59" spans="1:8" x14ac:dyDescent="0.25">
      <c r="A59" s="95" t="str">
        <f>'Income &amp; Bills'!A16</f>
        <v>Gas</v>
      </c>
      <c r="B59" s="159">
        <f>'Income &amp; Bills'!B16</f>
        <v>5000</v>
      </c>
      <c r="C59" s="159">
        <f t="shared" si="1"/>
        <v>2500</v>
      </c>
      <c r="D59" s="159">
        <f t="shared" si="2"/>
        <v>2500</v>
      </c>
      <c r="E59"/>
      <c r="F59"/>
      <c r="G59"/>
      <c r="H59"/>
    </row>
    <row r="60" spans="1:8" x14ac:dyDescent="0.25">
      <c r="A60" s="162" t="str">
        <f>'Income &amp; Bills'!A17</f>
        <v>Internet</v>
      </c>
      <c r="B60" s="163">
        <f>'Income &amp; Bills'!B17</f>
        <v>1800</v>
      </c>
      <c r="C60" s="163">
        <f t="shared" si="1"/>
        <v>900</v>
      </c>
      <c r="D60" s="163">
        <f t="shared" si="2"/>
        <v>900</v>
      </c>
      <c r="E60"/>
      <c r="F60"/>
      <c r="G60"/>
      <c r="H60"/>
    </row>
    <row r="61" spans="1:8" x14ac:dyDescent="0.25">
      <c r="A61" s="95" t="str">
        <f>'Income &amp; Bills'!A18</f>
        <v>Electricity</v>
      </c>
      <c r="B61" s="159">
        <f>'Income &amp; Bills'!B18</f>
        <v>8000</v>
      </c>
      <c r="C61" s="159">
        <f t="shared" si="1"/>
        <v>4000</v>
      </c>
      <c r="D61" s="159">
        <f t="shared" si="2"/>
        <v>4000</v>
      </c>
      <c r="E61"/>
      <c r="F61"/>
      <c r="G61"/>
      <c r="H61"/>
    </row>
    <row r="62" spans="1:8" x14ac:dyDescent="0.25">
      <c r="A62" s="162" t="str">
        <f>'Income &amp; Bills'!A19</f>
        <v>Anytime Fitness</v>
      </c>
      <c r="B62" s="163">
        <f>'Income &amp; Bills'!B19</f>
        <v>2400</v>
      </c>
      <c r="C62" s="163">
        <f t="shared" si="1"/>
        <v>1200</v>
      </c>
      <c r="D62" s="163">
        <f t="shared" si="2"/>
        <v>1200</v>
      </c>
      <c r="E62"/>
      <c r="F62"/>
      <c r="G62"/>
      <c r="H62"/>
    </row>
    <row r="63" spans="1:8" x14ac:dyDescent="0.25">
      <c r="A63" s="164" t="s">
        <v>358</v>
      </c>
      <c r="B63" s="165">
        <f>SUM(B51:B62)</f>
        <v>82358</v>
      </c>
      <c r="C63" s="165">
        <f>SUM(C51:C62)</f>
        <v>41179</v>
      </c>
      <c r="D63" s="165">
        <f>SUM(D51:D62)</f>
        <v>41179</v>
      </c>
      <c r="E63"/>
      <c r="F63"/>
      <c r="G63"/>
      <c r="H63"/>
    </row>
    <row r="64" spans="1:8" x14ac:dyDescent="0.25">
      <c r="B64" s="15"/>
      <c r="C64" s="15"/>
      <c r="D64" s="15"/>
      <c r="E64"/>
      <c r="F64"/>
      <c r="G64"/>
      <c r="H64"/>
    </row>
    <row r="65" spans="1:8" ht="15.75" x14ac:dyDescent="0.25">
      <c r="A65" s="218" t="s">
        <v>359</v>
      </c>
      <c r="B65" s="219"/>
      <c r="C65" s="219"/>
      <c r="D65" s="219"/>
      <c r="E65"/>
      <c r="F65"/>
      <c r="G65"/>
      <c r="H65"/>
    </row>
    <row r="66" spans="1:8" x14ac:dyDescent="0.25">
      <c r="A66" s="176" t="s">
        <v>360</v>
      </c>
      <c r="B66" s="177" t="s">
        <v>361</v>
      </c>
      <c r="C66" s="177" t="s">
        <v>362</v>
      </c>
      <c r="D66" s="177" t="s">
        <v>363</v>
      </c>
      <c r="E66"/>
      <c r="F66"/>
      <c r="G66"/>
      <c r="H66"/>
    </row>
    <row r="67" spans="1:8" x14ac:dyDescent="0.25">
      <c r="A67" s="95" t="s">
        <v>364</v>
      </c>
      <c r="B67" s="159">
        <f>$B$17</f>
        <v>247074</v>
      </c>
      <c r="C67" s="159">
        <f>$C$38</f>
        <v>58600</v>
      </c>
      <c r="D67" s="178">
        <f>IF(C67=0,0,ROUNDUP(MAX(0,B67-'Savings Dashboard'!$C$5)/C67,0))</f>
        <v>2</v>
      </c>
      <c r="E67"/>
      <c r="F67"/>
      <c r="G67"/>
      <c r="H67"/>
    </row>
    <row r="68" spans="1:8" x14ac:dyDescent="0.25">
      <c r="A68" s="179" t="s">
        <v>365</v>
      </c>
      <c r="B68" s="180">
        <f>$B$18</f>
        <v>494148</v>
      </c>
      <c r="C68" s="180">
        <f>$C$38</f>
        <v>58600</v>
      </c>
      <c r="D68" s="181">
        <f>IF(C68=0,0,ROUNDUP(MAX(0,B68-'Savings Dashboard'!$C$5)/C68,0))</f>
        <v>6</v>
      </c>
      <c r="E68"/>
      <c r="F68"/>
      <c r="G68"/>
      <c r="H68"/>
    </row>
    <row r="69" spans="1:8" x14ac:dyDescent="0.25">
      <c r="A69"/>
      <c r="B69"/>
      <c r="C69"/>
      <c r="D69"/>
      <c r="E69"/>
      <c r="F69"/>
      <c r="G69"/>
      <c r="H69"/>
    </row>
    <row r="70" spans="1:8" x14ac:dyDescent="0.25">
      <c r="A70"/>
      <c r="B70"/>
      <c r="C70"/>
      <c r="D70"/>
      <c r="E70"/>
      <c r="F70"/>
      <c r="G70"/>
      <c r="H70"/>
    </row>
    <row r="71" spans="1:8" x14ac:dyDescent="0.25">
      <c r="A71"/>
      <c r="B71"/>
      <c r="C71"/>
      <c r="D71"/>
      <c r="E71"/>
      <c r="F71"/>
      <c r="G71"/>
      <c r="H71"/>
    </row>
    <row r="72" spans="1:8" x14ac:dyDescent="0.25">
      <c r="A72"/>
      <c r="B72"/>
      <c r="C72"/>
      <c r="D72"/>
      <c r="E72"/>
      <c r="F72"/>
      <c r="G72"/>
      <c r="H72"/>
    </row>
    <row r="73" spans="1:8" x14ac:dyDescent="0.25">
      <c r="A73"/>
      <c r="B73"/>
      <c r="C73"/>
      <c r="D73"/>
      <c r="E73"/>
      <c r="F73"/>
      <c r="G73"/>
      <c r="H73"/>
    </row>
    <row r="74" spans="1:8" x14ac:dyDescent="0.25">
      <c r="A74"/>
      <c r="B74"/>
      <c r="C74"/>
      <c r="D74"/>
      <c r="E74"/>
      <c r="F74"/>
      <c r="G74"/>
      <c r="H74"/>
    </row>
    <row r="75" spans="1:8" x14ac:dyDescent="0.25">
      <c r="A75"/>
      <c r="B75"/>
      <c r="C75"/>
      <c r="D75"/>
      <c r="E75"/>
      <c r="F75"/>
      <c r="G75"/>
      <c r="H75"/>
    </row>
    <row r="76" spans="1:8" x14ac:dyDescent="0.25">
      <c r="A76"/>
      <c r="B76"/>
      <c r="C76"/>
      <c r="D76"/>
      <c r="E76"/>
      <c r="F76"/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  <row r="79" spans="1:8" x14ac:dyDescent="0.25">
      <c r="A79"/>
      <c r="B79"/>
      <c r="C79"/>
      <c r="D79"/>
      <c r="E79"/>
      <c r="F79"/>
      <c r="G79"/>
      <c r="H79"/>
    </row>
    <row r="80" spans="1:8" x14ac:dyDescent="0.25">
      <c r="A80"/>
      <c r="B80"/>
      <c r="C80"/>
      <c r="D80"/>
      <c r="E80"/>
      <c r="F80"/>
      <c r="G80"/>
      <c r="H80"/>
    </row>
  </sheetData>
  <mergeCells count="11">
    <mergeCell ref="A42:D42"/>
    <mergeCell ref="A43:D43"/>
    <mergeCell ref="A49:D49"/>
    <mergeCell ref="A65:D65"/>
    <mergeCell ref="A1:D1"/>
    <mergeCell ref="A2:D2"/>
    <mergeCell ref="A4:D4"/>
    <mergeCell ref="A12:D12"/>
    <mergeCell ref="A20:D20"/>
    <mergeCell ref="A21:D21"/>
    <mergeCell ref="A35:D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0F43-CE23-4BF8-8D60-11C419BD72B7}">
  <dimension ref="A1:B19"/>
  <sheetViews>
    <sheetView zoomScaleNormal="60" zoomScaleSheetLayoutView="100" workbookViewId="0"/>
  </sheetViews>
  <sheetFormatPr defaultRowHeight="15" x14ac:dyDescent="0.25"/>
  <cols>
    <col min="1" max="1" width="38.140625" customWidth="1"/>
    <col min="2" max="2" width="20" customWidth="1"/>
  </cols>
  <sheetData>
    <row r="1" spans="1:2" x14ac:dyDescent="0.25">
      <c r="A1" s="153" t="s">
        <v>297</v>
      </c>
    </row>
    <row r="2" spans="1:2" x14ac:dyDescent="0.25">
      <c r="A2" s="16" t="s">
        <v>298</v>
      </c>
      <c r="B2" s="152">
        <v>112000</v>
      </c>
    </row>
    <row r="3" spans="1:2" x14ac:dyDescent="0.25">
      <c r="A3" s="16" t="s">
        <v>299</v>
      </c>
      <c r="B3" s="152">
        <v>80000</v>
      </c>
    </row>
    <row r="4" spans="1:2" x14ac:dyDescent="0.25">
      <c r="B4" s="154">
        <f>SUM(B2:B3)</f>
        <v>192000</v>
      </c>
    </row>
    <row r="5" spans="1:2" x14ac:dyDescent="0.25">
      <c r="B5" s="152"/>
    </row>
    <row r="6" spans="1:2" x14ac:dyDescent="0.25">
      <c r="B6" s="152"/>
    </row>
    <row r="7" spans="1:2" x14ac:dyDescent="0.25">
      <c r="A7" s="153" t="s">
        <v>300</v>
      </c>
      <c r="B7" s="152">
        <f>SUM(B8:B19)</f>
        <v>82358</v>
      </c>
    </row>
    <row r="8" spans="1:2" x14ac:dyDescent="0.25">
      <c r="A8" t="s">
        <v>57</v>
      </c>
      <c r="B8" s="152">
        <v>6000</v>
      </c>
    </row>
    <row r="9" spans="1:2" x14ac:dyDescent="0.25">
      <c r="A9" t="s">
        <v>301</v>
      </c>
      <c r="B9" s="2">
        <v>2482</v>
      </c>
    </row>
    <row r="10" spans="1:2" x14ac:dyDescent="0.25">
      <c r="A10" t="s">
        <v>302</v>
      </c>
      <c r="B10" s="2">
        <v>13403</v>
      </c>
    </row>
    <row r="11" spans="1:2" x14ac:dyDescent="0.25">
      <c r="A11" s="16" t="s">
        <v>303</v>
      </c>
      <c r="B11" s="152">
        <v>11173</v>
      </c>
    </row>
    <row r="12" spans="1:2" x14ac:dyDescent="0.25">
      <c r="A12" t="s">
        <v>304</v>
      </c>
      <c r="B12" s="152">
        <v>4000</v>
      </c>
    </row>
    <row r="13" spans="1:2" x14ac:dyDescent="0.25">
      <c r="A13" t="s">
        <v>305</v>
      </c>
      <c r="B13" s="152">
        <v>5100</v>
      </c>
    </row>
    <row r="14" spans="1:2" x14ac:dyDescent="0.25">
      <c r="A14" s="16" t="s">
        <v>306</v>
      </c>
      <c r="B14" s="152">
        <v>15000</v>
      </c>
    </row>
    <row r="15" spans="1:2" x14ac:dyDescent="0.25">
      <c r="A15" t="s">
        <v>307</v>
      </c>
      <c r="B15" s="152">
        <v>8000</v>
      </c>
    </row>
    <row r="16" spans="1:2" x14ac:dyDescent="0.25">
      <c r="A16" s="16" t="s">
        <v>308</v>
      </c>
      <c r="B16" s="152">
        <v>5000</v>
      </c>
    </row>
    <row r="17" spans="1:2" x14ac:dyDescent="0.25">
      <c r="A17" s="16" t="s">
        <v>14</v>
      </c>
      <c r="B17" s="152">
        <v>1800</v>
      </c>
    </row>
    <row r="18" spans="1:2" x14ac:dyDescent="0.25">
      <c r="A18" s="16" t="s">
        <v>8</v>
      </c>
      <c r="B18" s="152">
        <v>8000</v>
      </c>
    </row>
    <row r="19" spans="1:2" x14ac:dyDescent="0.25">
      <c r="A19" s="16" t="s">
        <v>309</v>
      </c>
      <c r="B19" s="152">
        <v>2400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C09D-0CBB-384B-AE34-A24705DD862D}">
  <dimension ref="A1:D8"/>
  <sheetViews>
    <sheetView zoomScaleNormal="60" zoomScaleSheetLayoutView="100" workbookViewId="0">
      <selection activeCell="J12" sqref="J12"/>
    </sheetView>
  </sheetViews>
  <sheetFormatPr defaultRowHeight="15" x14ac:dyDescent="0.25"/>
  <cols>
    <col min="1" max="1" width="39.42578125" style="8" bestFit="1" customWidth="1"/>
    <col min="2" max="2" width="23.85546875" style="8" bestFit="1" customWidth="1"/>
    <col min="3" max="4" width="15" style="8" bestFit="1" customWidth="1"/>
  </cols>
  <sheetData>
    <row r="1" spans="1:4" ht="24" x14ac:dyDescent="0.25">
      <c r="A1" s="228" t="s">
        <v>385</v>
      </c>
      <c r="B1" s="228"/>
      <c r="C1" s="228"/>
      <c r="D1" s="228"/>
    </row>
    <row r="2" spans="1:4" ht="30" customHeight="1" x14ac:dyDescent="0.25">
      <c r="A2" s="229" t="s">
        <v>386</v>
      </c>
      <c r="B2" s="229"/>
      <c r="C2" s="229"/>
      <c r="D2" s="229"/>
    </row>
    <row r="3" spans="1:4" x14ac:dyDescent="0.25">
      <c r="A3" s="8" t="s">
        <v>395</v>
      </c>
    </row>
    <row r="4" spans="1:4" x14ac:dyDescent="0.25">
      <c r="A4" s="185" t="s">
        <v>387</v>
      </c>
      <c r="B4" s="186">
        <f>SUM(FarmManagerSalary[Amount])</f>
        <v>3000</v>
      </c>
      <c r="C4" s="185" t="s">
        <v>388</v>
      </c>
      <c r="D4" s="187">
        <f>MAX(FarmManagerSalary[Payment Date])</f>
        <v>46256</v>
      </c>
    </row>
    <row r="6" spans="1:4" x14ac:dyDescent="0.25">
      <c r="A6" s="230" t="s">
        <v>389</v>
      </c>
      <c r="B6" s="230"/>
      <c r="C6" s="230"/>
      <c r="D6" s="230"/>
    </row>
    <row r="7" spans="1:4" x14ac:dyDescent="0.25">
      <c r="A7" s="188" t="s">
        <v>390</v>
      </c>
      <c r="B7" s="188" t="s">
        <v>391</v>
      </c>
      <c r="C7" s="188" t="s">
        <v>3</v>
      </c>
      <c r="D7" s="188" t="s">
        <v>392</v>
      </c>
    </row>
    <row r="8" spans="1:4" x14ac:dyDescent="0.25">
      <c r="A8" s="189">
        <v>46256</v>
      </c>
      <c r="B8" s="8" t="s">
        <v>381</v>
      </c>
      <c r="C8" s="190">
        <v>3000</v>
      </c>
      <c r="D8" s="8" t="s">
        <v>382</v>
      </c>
    </row>
  </sheetData>
  <mergeCells count="3">
    <mergeCell ref="A1:D1"/>
    <mergeCell ref="A2:D2"/>
    <mergeCell ref="A6:D6"/>
  </mergeCells>
  <dataValidations count="1">
    <dataValidation type="decimal" operator="greaterThan" allowBlank="1" showInputMessage="1" showErrorMessage="1" sqref="C8" xr:uid="{01D8C040-7B17-4EBD-BDBA-B2AF8A482BF1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B4FCAE-733D-4D7C-80B6-97DC62571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Dashboard</vt:lpstr>
      <vt:lpstr>Expenses</vt:lpstr>
      <vt:lpstr>August 2026 Archive</vt:lpstr>
      <vt:lpstr>Savings Dashboard</vt:lpstr>
      <vt:lpstr>Savings Tracker</vt:lpstr>
      <vt:lpstr>Web App Plan</vt:lpstr>
      <vt:lpstr>Web App Mockup</vt:lpstr>
      <vt:lpstr>Miscellaneous</vt:lpstr>
      <vt:lpstr>Savings Plan</vt:lpstr>
      <vt:lpstr>Income &amp; Bills</vt:lpstr>
      <vt:lpstr>Farm Manager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Garcia</dc:creator>
  <cp:lastModifiedBy>eric Garcia</cp:lastModifiedBy>
  <dcterms:created xsi:type="dcterms:W3CDTF">2026-08-03T15:50:51Z</dcterms:created>
  <dcterms:modified xsi:type="dcterms:W3CDTF">2026-09-12T00:02:52Z</dcterms:modified>
</cp:coreProperties>
</file>